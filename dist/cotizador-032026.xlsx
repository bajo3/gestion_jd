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3U4WNpjdUd3rylPmgt7YI9dOPvnUnElLqY5i/u4iBDc="/>
    </ext>
  </extLst>
</workbook>
</file>

<file path=xl/sharedStrings.xml><?xml version="1.0" encoding="utf-8"?>
<sst xmlns="http://schemas.openxmlformats.org/spreadsheetml/2006/main" count="24" uniqueCount="12">
  <si>
    <t>2026-2021</t>
  </si>
  <si>
    <t>2020-2017</t>
  </si>
  <si>
    <t>2016 AL 2014</t>
  </si>
  <si>
    <t>2013 AL 2011</t>
  </si>
  <si>
    <t>COMISION 2%</t>
  </si>
  <si>
    <t>COMISION 3%</t>
  </si>
  <si>
    <t>PLAZO</t>
  </si>
  <si>
    <t>INDICE</t>
  </si>
  <si>
    <t>CUOTA</t>
  </si>
  <si>
    <t>LTV Max.60%</t>
  </si>
  <si>
    <t>LTV Max.55%</t>
  </si>
  <si>
    <t>LTV Max.50%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</si>
</sst>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_(* #,##0.00000_);_(* \(#,##0.00000\);_(* &quot;-&quot;??_);_(@_)"/>
    <numFmt numFmtId="166" formatCode="_ * #,##0_ ;_ * \-#,##0_ ;_ * &quot;-&quot;??_ ;_ @_ "/>
    <numFmt numFmtId="167" formatCode="_(* #,##0.00_);_(* \(#,##0.00\);_(* &quot;-&quot;??_);_(@_)"/>
    <numFmt numFmtId="168" formatCode="0.000%"/>
  </numFmts>
  <fonts count="18">
    <font>
      <sz val="11.0"/>
      <color theme="1"/>
      <name val="Calibri"/>
      <scheme val="minor"/>
    </font>
    <font>
      <b/>
      <sz val="16.0"/>
      <color rgb="FF0F549E"/>
      <name val="Calibri"/>
    </font>
    <font/>
    <font>
      <sz val="11.0"/>
      <color theme="1"/>
      <name val="Calibri"/>
    </font>
    <font>
      <b/>
      <sz val="20.0"/>
      <color rgb="FFFF0000"/>
      <name val="Calibri"/>
    </font>
    <font>
      <b/>
      <sz val="18.0"/>
      <color rgb="FF1F3864"/>
      <name val="Calibri"/>
    </font>
    <font>
      <b/>
      <sz val="20.0"/>
      <color theme="1"/>
      <name val="Calibri"/>
    </font>
    <font>
      <b/>
      <sz val="16.0"/>
      <color rgb="FFFF0000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AEABAB"/>
      <name val="Calibri"/>
    </font>
    <font>
      <b/>
      <sz val="12.0"/>
      <color theme="0"/>
      <name val="Calibri"/>
    </font>
    <font>
      <sz val="11.0"/>
      <color theme="0"/>
      <name val="Calibri"/>
    </font>
    <font>
      <b/>
      <sz val="11.0"/>
      <color rgb="FFAEABAB"/>
      <name val="Calibri"/>
    </font>
    <font>
      <b/>
      <sz val="11.0"/>
      <color theme="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F549E"/>
        <bgColor rgb="FF0F549E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</fills>
  <borders count="4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37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3" fontId="3" numFmtId="0" xfId="0" applyBorder="1" applyFill="1" applyFont="1"/>
    <xf borderId="4" fillId="0" fontId="3" numFmtId="0" xfId="0" applyBorder="1" applyFont="1"/>
    <xf borderId="2" fillId="0" fontId="3" numFmtId="0" xfId="0" applyBorder="1" applyFont="1"/>
    <xf borderId="5" fillId="4" fontId="4" numFmtId="37" xfId="0" applyAlignment="1" applyBorder="1" applyFill="1" applyFont="1" applyNumberFormat="1">
      <alignment horizontal="left" vertical="center"/>
    </xf>
    <xf borderId="5" fillId="4" fontId="3" numFmtId="0" xfId="0" applyBorder="1" applyFont="1"/>
    <xf borderId="3" fillId="4" fontId="3" numFmtId="0" xfId="0" applyBorder="1" applyFont="1"/>
    <xf borderId="6" fillId="4" fontId="3" numFmtId="0" xfId="0" applyBorder="1" applyFont="1"/>
    <xf borderId="1" fillId="2" fontId="5" numFmtId="164" xfId="0" applyAlignment="1" applyBorder="1" applyFont="1" applyNumberFormat="1">
      <alignment horizontal="center" vertical="center"/>
    </xf>
    <xf borderId="4" fillId="0" fontId="2" numFmtId="0" xfId="0" applyBorder="1" applyFont="1"/>
    <xf borderId="7" fillId="5" fontId="6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5" fillId="6" fontId="6" numFmtId="0" xfId="0" applyAlignment="1" applyBorder="1" applyFill="1" applyFont="1">
      <alignment horizontal="center"/>
    </xf>
    <xf borderId="1" fillId="5" fontId="6" numFmtId="0" xfId="0" applyAlignment="1" applyBorder="1" applyFont="1">
      <alignment horizontal="center"/>
    </xf>
    <xf borderId="10" fillId="5" fontId="6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" fillId="5" fontId="7" numFmtId="0" xfId="0" applyAlignment="1" applyBorder="1" applyFont="1">
      <alignment horizontal="center"/>
    </xf>
    <xf borderId="13" fillId="6" fontId="8" numFmtId="0" xfId="0" applyAlignment="1" applyBorder="1" applyFont="1">
      <alignment horizontal="center"/>
    </xf>
    <xf borderId="14" fillId="5" fontId="9" numFmtId="0" xfId="0" applyAlignment="1" applyBorder="1" applyFont="1">
      <alignment horizontal="center"/>
    </xf>
    <xf borderId="15" fillId="5" fontId="9" numFmtId="0" xfId="0" applyAlignment="1" applyBorder="1" applyFont="1">
      <alignment horizontal="center"/>
    </xf>
    <xf borderId="16" fillId="5" fontId="9" numFmtId="0" xfId="0" applyAlignment="1" applyBorder="1" applyFont="1">
      <alignment horizontal="center"/>
    </xf>
    <xf borderId="13" fillId="6" fontId="9" numFmtId="0" xfId="0" applyBorder="1" applyFont="1"/>
    <xf borderId="13" fillId="6" fontId="9" numFmtId="0" xfId="0" applyAlignment="1" applyBorder="1" applyFont="1">
      <alignment horizontal="center"/>
    </xf>
    <xf borderId="13" fillId="6" fontId="3" numFmtId="0" xfId="0" applyAlignment="1" applyBorder="1" applyFont="1">
      <alignment horizontal="center"/>
    </xf>
    <xf borderId="17" fillId="2" fontId="10" numFmtId="0" xfId="0" applyBorder="1" applyFont="1"/>
    <xf borderId="18" fillId="2" fontId="11" numFmtId="165" xfId="0" applyBorder="1" applyFont="1" applyNumberFormat="1"/>
    <xf borderId="19" fillId="0" fontId="10" numFmtId="166" xfId="0" applyBorder="1" applyFont="1" applyNumberFormat="1"/>
    <xf borderId="20" fillId="2" fontId="10" numFmtId="0" xfId="0" applyBorder="1" applyFont="1"/>
    <xf borderId="21" fillId="0" fontId="10" numFmtId="166" xfId="0" applyBorder="1" applyFont="1" applyNumberFormat="1"/>
    <xf borderId="22" fillId="2" fontId="3" numFmtId="0" xfId="0" applyBorder="1" applyFont="1"/>
    <xf borderId="23" fillId="2" fontId="11" numFmtId="165" xfId="0" applyBorder="1" applyFont="1" applyNumberFormat="1"/>
    <xf borderId="24" fillId="0" fontId="3" numFmtId="166" xfId="0" applyBorder="1" applyFont="1" applyNumberFormat="1"/>
    <xf borderId="22" fillId="0" fontId="10" numFmtId="0" xfId="0" applyBorder="1" applyFont="1"/>
    <xf borderId="24" fillId="0" fontId="10" numFmtId="166" xfId="0" applyBorder="1" applyFont="1" applyNumberFormat="1"/>
    <xf borderId="13" fillId="6" fontId="12" numFmtId="9" xfId="0" applyBorder="1" applyFont="1" applyNumberFormat="1"/>
    <xf borderId="0" fillId="0" fontId="3" numFmtId="167" xfId="0" applyFont="1" applyNumberFormat="1"/>
    <xf borderId="13" fillId="6" fontId="13" numFmtId="9" xfId="0" applyBorder="1" applyFont="1" applyNumberFormat="1"/>
    <xf borderId="22" fillId="0" fontId="3" numFmtId="0" xfId="0" applyBorder="1" applyFont="1"/>
    <xf borderId="22" fillId="2" fontId="10" numFmtId="0" xfId="0" applyBorder="1" applyFont="1"/>
    <xf borderId="25" fillId="2" fontId="3" numFmtId="0" xfId="0" applyBorder="1" applyFont="1"/>
    <xf borderId="26" fillId="0" fontId="3" numFmtId="166" xfId="0" applyBorder="1" applyFont="1" applyNumberFormat="1"/>
    <xf borderId="13" fillId="6" fontId="13" numFmtId="0" xfId="0" applyBorder="1" applyFont="1"/>
    <xf borderId="22" fillId="2" fontId="9" numFmtId="0" xfId="0" applyBorder="1" applyFont="1"/>
    <xf borderId="23" fillId="2" fontId="14" numFmtId="165" xfId="0" applyBorder="1" applyFont="1" applyNumberFormat="1"/>
    <xf borderId="26" fillId="0" fontId="9" numFmtId="166" xfId="0" applyBorder="1" applyFont="1" applyNumberFormat="1"/>
    <xf borderId="13" fillId="6" fontId="15" numFmtId="9" xfId="0" applyBorder="1" applyFont="1" applyNumberFormat="1"/>
    <xf borderId="22" fillId="0" fontId="9" numFmtId="0" xfId="0" applyBorder="1" applyFont="1"/>
    <xf borderId="24" fillId="0" fontId="9" numFmtId="166" xfId="0" applyBorder="1" applyFont="1" applyNumberFormat="1"/>
    <xf borderId="0" fillId="0" fontId="16" numFmtId="0" xfId="0" applyFont="1"/>
    <xf borderId="26" fillId="0" fontId="10" numFmtId="166" xfId="0" applyBorder="1" applyFont="1" applyNumberFormat="1"/>
    <xf borderId="13" fillId="6" fontId="3" numFmtId="0" xfId="0" applyBorder="1" applyFont="1"/>
    <xf borderId="27" fillId="6" fontId="3" numFmtId="0" xfId="0" applyBorder="1" applyFont="1"/>
    <xf borderId="13" fillId="6" fontId="11" numFmtId="165" xfId="0" applyBorder="1" applyFont="1" applyNumberFormat="1"/>
    <xf borderId="28" fillId="6" fontId="3" numFmtId="166" xfId="0" applyBorder="1" applyFont="1" applyNumberFormat="1"/>
    <xf borderId="0" fillId="0" fontId="3" numFmtId="168" xfId="0" applyFont="1" applyNumberFormat="1"/>
    <xf borderId="27" fillId="6" fontId="10" numFmtId="0" xfId="0" applyBorder="1" applyFont="1"/>
    <xf borderId="28" fillId="6" fontId="10" numFmtId="166" xfId="0" applyBorder="1" applyFont="1" applyNumberFormat="1"/>
    <xf borderId="29" fillId="2" fontId="10" numFmtId="0" xfId="0" applyBorder="1" applyFont="1"/>
    <xf borderId="30" fillId="2" fontId="11" numFmtId="165" xfId="0" applyBorder="1" applyFont="1" applyNumberFormat="1"/>
    <xf borderId="31" fillId="0" fontId="10" numFmtId="166" xfId="0" applyBorder="1" applyFont="1" applyNumberFormat="1"/>
    <xf borderId="13" fillId="6" fontId="10" numFmtId="0" xfId="0" applyBorder="1" applyFont="1"/>
    <xf borderId="29" fillId="0" fontId="10" numFmtId="0" xfId="0" applyBorder="1" applyFont="1"/>
    <xf borderId="32" fillId="0" fontId="10" numFmtId="166" xfId="0" applyBorder="1" applyFont="1" applyNumberFormat="1"/>
    <xf borderId="33" fillId="6" fontId="10" numFmtId="0" xfId="0" applyBorder="1" applyFont="1"/>
    <xf borderId="34" fillId="6" fontId="11" numFmtId="165" xfId="0" applyBorder="1" applyFont="1" applyNumberFormat="1"/>
    <xf borderId="35" fillId="6" fontId="10" numFmtId="166" xfId="0" applyBorder="1" applyFont="1" applyNumberFormat="1"/>
    <xf borderId="36" fillId="2" fontId="10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vertical="top"/>
    </xf>
    <xf borderId="37" fillId="2" fontId="3" numFmtId="9" xfId="0" applyBorder="1" applyFont="1" applyNumberFormat="1"/>
    <xf borderId="38" fillId="4" fontId="3" numFmtId="0" xfId="0" applyBorder="1" applyFont="1"/>
    <xf borderId="36" fillId="2" fontId="9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vertical="center"/>
    </xf>
    <xf borderId="37" fillId="2" fontId="3" numFmtId="0" xfId="0" applyBorder="1" applyFont="1"/>
    <xf borderId="39" fillId="2" fontId="9" numFmtId="0" xfId="0" applyAlignment="1" applyBorder="1" applyFont="1">
      <alignment horizontal="center" vertical="center"/>
    </xf>
    <xf borderId="38" fillId="2" fontId="8" numFmtId="9" xfId="0" applyAlignment="1" applyBorder="1" applyFont="1" applyNumberFormat="1">
      <alignment vertical="center"/>
    </xf>
    <xf borderId="40" fillId="2" fontId="3" numFmtId="0" xfId="0" applyBorder="1" applyFont="1"/>
    <xf borderId="41" fillId="0" fontId="3" numFmtId="0" xfId="0" applyBorder="1" applyFont="1"/>
    <xf borderId="0" fillId="0" fontId="17" numFmtId="0" xfId="0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39" fillId="3" fontId="3" numFmtId="0" xfId="0" applyBorder="1" applyFont="1"/>
    <xf borderId="38" fillId="3" fontId="3" numFmtId="0" xfId="0" applyBorder="1" applyFont="1"/>
    <xf borderId="40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85725</xdr:rowOff>
    </xdr:from>
    <xdr:ext cx="1943100" cy="466725"/>
    <xdr:sp>
      <xdr:nvSpPr>
        <xdr:cNvPr id="3" name="Shape 3"/>
        <xdr:cNvSpPr/>
      </xdr:nvSpPr>
      <xdr:spPr>
        <a:xfrm>
          <a:off x="4379213" y="3551400"/>
          <a:ext cx="1933575" cy="457200"/>
        </a:xfrm>
        <a:prstGeom prst="leftArrow">
          <a:avLst>
            <a:gd fmla="val 50000" name="adj1"/>
            <a:gd fmla="val 50000" name="adj2"/>
          </a:avLst>
        </a:prstGeom>
        <a:solidFill>
          <a:srgbClr val="8DA9DB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CAPITAL SOLICITADO</a:t>
          </a:r>
          <a:endParaRPr sz="1400"/>
        </a:p>
      </xdr:txBody>
    </xdr:sp>
    <xdr:clientData fLocksWithSheet="0"/>
  </xdr:oneCellAnchor>
  <xdr:oneCellAnchor>
    <xdr:from>
      <xdr:col>4</xdr:col>
      <xdr:colOff>419100</xdr:colOff>
      <xdr:row>0</xdr:row>
      <xdr:rowOff>9525</xdr:rowOff>
    </xdr:from>
    <xdr:ext cx="61626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19050</xdr:rowOff>
    </xdr:from>
    <xdr:ext cx="8820150" cy="381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0.71"/>
    <col customWidth="1" min="3" max="3" width="13.43"/>
    <col customWidth="1" min="4" max="4" width="2.86"/>
    <col customWidth="1" min="5" max="5" width="6.71"/>
    <col customWidth="1" min="6" max="6" width="10.71"/>
    <col customWidth="1" min="7" max="7" width="13.71"/>
    <col customWidth="1" min="8" max="8" width="3.0"/>
    <col customWidth="1" min="9" max="9" width="6.71"/>
    <col customWidth="1" min="10" max="10" width="10.71"/>
    <col customWidth="1" min="11" max="11" width="13.57"/>
    <col customWidth="1" min="12" max="12" width="2.86"/>
    <col customWidth="1" min="13" max="13" width="6.71"/>
    <col customWidth="1" min="14" max="14" width="10.71"/>
    <col customWidth="1" min="15" max="15" width="13.14"/>
    <col customWidth="1" min="16" max="19" width="10.71"/>
    <col customWidth="1" min="20" max="20" width="14.14"/>
    <col customWidth="1" min="21" max="26" width="10.71"/>
  </cols>
  <sheetData>
    <row r="1" ht="50.25" customHeight="1">
      <c r="A1" s="1">
        <v>5000000.0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5"/>
    </row>
    <row r="2">
      <c r="A2" s="6"/>
      <c r="B2" s="6"/>
      <c r="C2" s="7"/>
      <c r="D2" s="7"/>
      <c r="E2" s="8"/>
      <c r="F2" s="8"/>
      <c r="G2" s="8"/>
      <c r="H2" s="7"/>
      <c r="I2" s="8"/>
      <c r="J2" s="8"/>
      <c r="K2" s="8"/>
      <c r="L2" s="7"/>
      <c r="M2" s="7"/>
      <c r="N2" s="7"/>
      <c r="O2" s="9"/>
    </row>
    <row r="3">
      <c r="A3" s="10">
        <f>+A1</f>
        <v>5000000</v>
      </c>
      <c r="B3" s="11"/>
      <c r="C3" s="2"/>
      <c r="D3" s="7"/>
      <c r="E3" s="10">
        <f>+A3</f>
        <v>5000000</v>
      </c>
      <c r="F3" s="11"/>
      <c r="G3" s="2"/>
      <c r="H3" s="7"/>
      <c r="I3" s="10">
        <f>+E3</f>
        <v>5000000</v>
      </c>
      <c r="J3" s="11"/>
      <c r="K3" s="2"/>
      <c r="L3" s="7"/>
      <c r="M3" s="10">
        <f>+I3</f>
        <v>5000000</v>
      </c>
      <c r="N3" s="11"/>
      <c r="O3" s="2"/>
    </row>
    <row r="4">
      <c r="A4" s="12" t="s">
        <v>0</v>
      </c>
      <c r="B4" s="13"/>
      <c r="C4" s="14"/>
      <c r="D4" s="15"/>
      <c r="E4" s="16" t="s">
        <v>1</v>
      </c>
      <c r="F4" s="11"/>
      <c r="G4" s="2"/>
      <c r="H4" s="15"/>
      <c r="I4" s="16" t="s">
        <v>2</v>
      </c>
      <c r="J4" s="11"/>
      <c r="K4" s="2"/>
      <c r="L4" s="15"/>
      <c r="M4" s="17" t="s">
        <v>3</v>
      </c>
      <c r="N4" s="18"/>
      <c r="O4" s="19"/>
    </row>
    <row r="5" ht="18.0" customHeight="1">
      <c r="A5" s="20" t="s">
        <v>4</v>
      </c>
      <c r="B5" s="11"/>
      <c r="C5" s="2"/>
      <c r="D5" s="21"/>
      <c r="E5" s="20" t="s">
        <v>4</v>
      </c>
      <c r="F5" s="11"/>
      <c r="G5" s="2"/>
      <c r="H5" s="21"/>
      <c r="I5" s="20" t="s">
        <v>5</v>
      </c>
      <c r="J5" s="11"/>
      <c r="K5" s="2"/>
      <c r="L5" s="21"/>
      <c r="M5" s="20" t="s">
        <v>5</v>
      </c>
      <c r="N5" s="11"/>
      <c r="O5" s="2"/>
    </row>
    <row r="6">
      <c r="A6" s="22" t="s">
        <v>6</v>
      </c>
      <c r="B6" s="23" t="s">
        <v>7</v>
      </c>
      <c r="C6" s="24" t="s">
        <v>8</v>
      </c>
      <c r="D6" s="25"/>
      <c r="E6" s="22" t="s">
        <v>6</v>
      </c>
      <c r="F6" s="23" t="s">
        <v>7</v>
      </c>
      <c r="G6" s="24" t="s">
        <v>8</v>
      </c>
      <c r="H6" s="26"/>
      <c r="I6" s="22" t="s">
        <v>6</v>
      </c>
      <c r="J6" s="23" t="s">
        <v>7</v>
      </c>
      <c r="K6" s="24" t="s">
        <v>8</v>
      </c>
      <c r="L6" s="27"/>
      <c r="M6" s="22" t="s">
        <v>6</v>
      </c>
      <c r="N6" s="23" t="s">
        <v>7</v>
      </c>
      <c r="O6" s="24" t="s">
        <v>8</v>
      </c>
    </row>
    <row r="7">
      <c r="A7" s="28">
        <v>6.0</v>
      </c>
      <c r="B7" s="29">
        <v>0.20368221000123968</v>
      </c>
      <c r="C7" s="30">
        <f t="shared" ref="C7:C22" si="1">+B7*$A$1</f>
        <v>1018411.05</v>
      </c>
      <c r="D7" s="25"/>
      <c r="E7" s="28">
        <v>6.0</v>
      </c>
      <c r="F7" s="29">
        <v>0.21148264379933937</v>
      </c>
      <c r="G7" s="30">
        <f t="shared" ref="G7:G22" si="2">+F7*$A$1</f>
        <v>1057413.219</v>
      </c>
      <c r="H7" s="26"/>
      <c r="I7" s="31">
        <v>6.0</v>
      </c>
      <c r="J7" s="29">
        <v>0.21940898787484295</v>
      </c>
      <c r="K7" s="32">
        <f t="shared" ref="K7:K19" si="3">+J7*$A$1</f>
        <v>1097044.939</v>
      </c>
      <c r="L7" s="27"/>
      <c r="M7" s="31">
        <v>6.0</v>
      </c>
      <c r="N7" s="29">
        <v>0.2274583954306623</v>
      </c>
      <c r="O7" s="32">
        <f t="shared" ref="O7:O16" si="4">+N7*$A$1</f>
        <v>1137291.977</v>
      </c>
    </row>
    <row r="8">
      <c r="A8" s="33">
        <v>8.0</v>
      </c>
      <c r="B8" s="34">
        <v>0.16135475915811792</v>
      </c>
      <c r="C8" s="35">
        <f t="shared" si="1"/>
        <v>806773.7958</v>
      </c>
      <c r="D8" s="25"/>
      <c r="E8" s="33">
        <v>8.0</v>
      </c>
      <c r="F8" s="34">
        <v>0.1691590045018863</v>
      </c>
      <c r="G8" s="35">
        <f t="shared" si="2"/>
        <v>845795.0225</v>
      </c>
      <c r="H8" s="26"/>
      <c r="I8" s="33">
        <v>8.0</v>
      </c>
      <c r="J8" s="34">
        <v>0.177130911680176</v>
      </c>
      <c r="K8" s="35">
        <f t="shared" si="3"/>
        <v>885654.5584</v>
      </c>
      <c r="L8" s="27"/>
      <c r="M8" s="33">
        <v>8.0</v>
      </c>
      <c r="N8" s="34">
        <v>0.18526592189189203</v>
      </c>
      <c r="O8" s="35">
        <f t="shared" si="4"/>
        <v>926329.6095</v>
      </c>
    </row>
    <row r="9">
      <c r="A9" s="33">
        <v>10.0</v>
      </c>
      <c r="B9" s="34">
        <v>0.13618999455347516</v>
      </c>
      <c r="C9" s="35">
        <f t="shared" si="1"/>
        <v>680949.9728</v>
      </c>
      <c r="D9" s="25"/>
      <c r="E9" s="33">
        <v>10.0</v>
      </c>
      <c r="F9" s="34">
        <v>0.14409346910618104</v>
      </c>
      <c r="G9" s="35">
        <f t="shared" si="2"/>
        <v>720467.3455</v>
      </c>
      <c r="H9" s="26"/>
      <c r="I9" s="33">
        <v>10.0</v>
      </c>
      <c r="J9" s="34">
        <v>0.15220404370177476</v>
      </c>
      <c r="K9" s="35">
        <f t="shared" si="3"/>
        <v>761020.2185</v>
      </c>
      <c r="L9" s="27"/>
      <c r="M9" s="33">
        <v>10.0</v>
      </c>
      <c r="N9" s="34">
        <v>0.16051488270660433</v>
      </c>
      <c r="O9" s="35">
        <f t="shared" si="4"/>
        <v>802574.4135</v>
      </c>
    </row>
    <row r="10">
      <c r="A10" s="36">
        <v>12.0</v>
      </c>
      <c r="B10" s="34">
        <v>0.11960420348299941</v>
      </c>
      <c r="C10" s="37">
        <f t="shared" si="1"/>
        <v>598021.0174</v>
      </c>
      <c r="D10" s="38"/>
      <c r="E10" s="36">
        <v>12.0</v>
      </c>
      <c r="F10" s="34">
        <v>0.1276522252957542</v>
      </c>
      <c r="G10" s="37">
        <f t="shared" si="2"/>
        <v>638261.1265</v>
      </c>
      <c r="H10" s="38"/>
      <c r="I10" s="36">
        <v>12.0</v>
      </c>
      <c r="J10" s="34">
        <v>0.13594425377121142</v>
      </c>
      <c r="K10" s="37">
        <f t="shared" si="3"/>
        <v>679721.2689</v>
      </c>
      <c r="L10" s="38"/>
      <c r="M10" s="36">
        <v>12.0</v>
      </c>
      <c r="N10" s="34">
        <v>0.14447052741496852</v>
      </c>
      <c r="O10" s="37">
        <f t="shared" si="4"/>
        <v>722352.6371</v>
      </c>
      <c r="T10" s="39"/>
    </row>
    <row r="11">
      <c r="A11" s="33">
        <v>14.0</v>
      </c>
      <c r="B11" s="34">
        <v>0.10791824069919614</v>
      </c>
      <c r="C11" s="35">
        <f t="shared" si="1"/>
        <v>539591.2035</v>
      </c>
      <c r="D11" s="40"/>
      <c r="E11" s="41">
        <v>14.0</v>
      </c>
      <c r="F11" s="34">
        <v>0.11613427499758291</v>
      </c>
      <c r="G11" s="35">
        <f t="shared" si="2"/>
        <v>580671.375</v>
      </c>
      <c r="H11" s="40"/>
      <c r="I11" s="41">
        <v>14.0</v>
      </c>
      <c r="J11" s="34">
        <v>0.12462842025203603</v>
      </c>
      <c r="K11" s="35">
        <f t="shared" si="3"/>
        <v>623142.1013</v>
      </c>
      <c r="L11" s="40"/>
      <c r="M11" s="41">
        <v>14.0</v>
      </c>
      <c r="N11" s="34">
        <v>0.13338729249666315</v>
      </c>
      <c r="O11" s="35">
        <f t="shared" si="4"/>
        <v>666936.4625</v>
      </c>
    </row>
    <row r="12">
      <c r="A12" s="33">
        <v>16.0</v>
      </c>
      <c r="B12" s="34">
        <v>0.09929219377755193</v>
      </c>
      <c r="C12" s="35">
        <f t="shared" si="1"/>
        <v>496460.9689</v>
      </c>
      <c r="D12" s="40"/>
      <c r="E12" s="41">
        <v>16.0</v>
      </c>
      <c r="F12" s="34">
        <v>0.1076884811509442</v>
      </c>
      <c r="G12" s="35">
        <f t="shared" si="2"/>
        <v>538442.4058</v>
      </c>
      <c r="H12" s="40"/>
      <c r="I12" s="41">
        <v>16.0</v>
      </c>
      <c r="J12" s="34">
        <v>0.11639392953173315</v>
      </c>
      <c r="K12" s="35">
        <f t="shared" si="3"/>
        <v>581969.6477</v>
      </c>
      <c r="L12" s="40"/>
      <c r="M12" s="41">
        <v>16.0</v>
      </c>
      <c r="N12" s="34">
        <v>0.12539082534206045</v>
      </c>
      <c r="O12" s="35">
        <f t="shared" si="4"/>
        <v>626954.1267</v>
      </c>
    </row>
    <row r="13">
      <c r="A13" s="42">
        <v>18.0</v>
      </c>
      <c r="B13" s="34">
        <v>0.09270360734352188</v>
      </c>
      <c r="C13" s="37">
        <f t="shared" si="1"/>
        <v>463518.0367</v>
      </c>
      <c r="D13" s="38"/>
      <c r="E13" s="36">
        <v>18.0</v>
      </c>
      <c r="F13" s="34">
        <v>0.10128592249137715</v>
      </c>
      <c r="G13" s="37">
        <f t="shared" si="2"/>
        <v>506429.6125</v>
      </c>
      <c r="H13" s="38"/>
      <c r="I13" s="36">
        <v>18.0</v>
      </c>
      <c r="J13" s="34">
        <v>0.11020518707235342</v>
      </c>
      <c r="K13" s="37">
        <f t="shared" si="3"/>
        <v>551025.9354</v>
      </c>
      <c r="L13" s="38"/>
      <c r="M13" s="36">
        <v>18.0</v>
      </c>
      <c r="N13" s="34">
        <v>0.11943867628656367</v>
      </c>
      <c r="O13" s="37">
        <f t="shared" si="4"/>
        <v>597193.3814</v>
      </c>
    </row>
    <row r="14">
      <c r="A14" s="43">
        <v>20.0</v>
      </c>
      <c r="B14" s="34">
        <v>0.08753877463677467</v>
      </c>
      <c r="C14" s="44">
        <f t="shared" si="1"/>
        <v>437693.8732</v>
      </c>
      <c r="D14" s="40"/>
      <c r="E14" s="41">
        <v>20.0</v>
      </c>
      <c r="F14" s="34">
        <v>0.09630883953925634</v>
      </c>
      <c r="G14" s="35">
        <f t="shared" si="2"/>
        <v>481544.1977</v>
      </c>
      <c r="H14" s="40"/>
      <c r="I14" s="41">
        <v>20.0</v>
      </c>
      <c r="J14" s="34">
        <v>0.10544022840916825</v>
      </c>
      <c r="K14" s="35">
        <f t="shared" si="3"/>
        <v>527201.142</v>
      </c>
      <c r="L14" s="45"/>
      <c r="M14" s="41">
        <v>20.0</v>
      </c>
      <c r="N14" s="34">
        <v>0.11490458246181268</v>
      </c>
      <c r="O14" s="35">
        <f t="shared" si="4"/>
        <v>574522.9123</v>
      </c>
    </row>
    <row r="15">
      <c r="A15" s="46">
        <v>22.0</v>
      </c>
      <c r="B15" s="47">
        <v>0.08340696234037732</v>
      </c>
      <c r="C15" s="48">
        <f t="shared" si="1"/>
        <v>417034.8117</v>
      </c>
      <c r="D15" s="49"/>
      <c r="E15" s="50">
        <v>22.0</v>
      </c>
      <c r="F15" s="47">
        <v>0.09236379444320174</v>
      </c>
      <c r="G15" s="51">
        <f t="shared" si="2"/>
        <v>461818.9722</v>
      </c>
      <c r="H15" s="49"/>
      <c r="I15" s="50">
        <v>22.0</v>
      </c>
      <c r="J15" s="47">
        <v>0.10170281786086709</v>
      </c>
      <c r="K15" s="51">
        <f t="shared" si="3"/>
        <v>508514.0893</v>
      </c>
      <c r="L15" s="25"/>
      <c r="M15" s="50">
        <v>22.0</v>
      </c>
      <c r="N15" s="47">
        <v>0.11138950490830743</v>
      </c>
      <c r="O15" s="51">
        <f t="shared" si="4"/>
        <v>556947.5245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42">
        <v>24.0</v>
      </c>
      <c r="B16" s="34">
        <v>0.0800475239730856</v>
      </c>
      <c r="C16" s="53">
        <f t="shared" si="1"/>
        <v>400237.6199</v>
      </c>
      <c r="D16" s="38"/>
      <c r="E16" s="36">
        <v>24.0</v>
      </c>
      <c r="F16" s="34">
        <v>0.08918825223032271</v>
      </c>
      <c r="G16" s="37">
        <f t="shared" si="2"/>
        <v>445941.2612</v>
      </c>
      <c r="H16" s="38"/>
      <c r="I16" s="36">
        <v>24.0</v>
      </c>
      <c r="J16" s="34">
        <v>0.09872849768420311</v>
      </c>
      <c r="K16" s="37">
        <f t="shared" si="3"/>
        <v>493642.4884</v>
      </c>
      <c r="L16" s="25"/>
      <c r="M16" s="36">
        <v>24.0</v>
      </c>
      <c r="N16" s="34">
        <v>0.10862714014988949</v>
      </c>
      <c r="O16" s="37">
        <f t="shared" si="4"/>
        <v>543135.7007</v>
      </c>
    </row>
    <row r="17" ht="17.25" customHeight="1">
      <c r="A17" s="33">
        <v>26.0</v>
      </c>
      <c r="B17" s="34">
        <v>0.0772798846485201</v>
      </c>
      <c r="C17" s="44">
        <f t="shared" si="1"/>
        <v>386399.4232</v>
      </c>
      <c r="D17" s="40"/>
      <c r="E17" s="41">
        <v>26.0</v>
      </c>
      <c r="F17" s="34">
        <v>0.08660027870858655</v>
      </c>
      <c r="G17" s="35">
        <f t="shared" si="2"/>
        <v>433001.3935</v>
      </c>
      <c r="H17" s="40"/>
      <c r="I17" s="41">
        <v>26.0</v>
      </c>
      <c r="J17" s="34">
        <v>0.09633399664810038</v>
      </c>
      <c r="K17" s="35">
        <f t="shared" si="3"/>
        <v>481669.9832</v>
      </c>
      <c r="L17" s="54"/>
      <c r="M17" s="55"/>
      <c r="N17" s="56"/>
      <c r="O17" s="57"/>
    </row>
    <row r="18">
      <c r="A18" s="33">
        <v>28.0</v>
      </c>
      <c r="B18" s="34">
        <v>0.0749749612632218</v>
      </c>
      <c r="C18" s="44">
        <f t="shared" si="1"/>
        <v>374874.8063</v>
      </c>
      <c r="D18" s="40"/>
      <c r="E18" s="41">
        <v>28.0</v>
      </c>
      <c r="F18" s="34">
        <v>0.08446979589670323</v>
      </c>
      <c r="G18" s="35">
        <f t="shared" si="2"/>
        <v>422348.9795</v>
      </c>
      <c r="H18" s="40"/>
      <c r="I18" s="41">
        <v>28.0</v>
      </c>
      <c r="J18" s="34">
        <v>0.09438831644396911</v>
      </c>
      <c r="K18" s="35">
        <f t="shared" si="3"/>
        <v>471941.5822</v>
      </c>
      <c r="L18" s="54"/>
      <c r="M18" s="55"/>
      <c r="N18" s="56"/>
      <c r="O18" s="57"/>
      <c r="R18" s="58"/>
    </row>
    <row r="19">
      <c r="A19" s="42">
        <v>30.0</v>
      </c>
      <c r="B19" s="34">
        <v>0.07303801468419309</v>
      </c>
      <c r="C19" s="53">
        <f t="shared" si="1"/>
        <v>365190.0734</v>
      </c>
      <c r="D19" s="38"/>
      <c r="E19" s="36">
        <v>30.0</v>
      </c>
      <c r="F19" s="34">
        <v>0.0827013341283926</v>
      </c>
      <c r="G19" s="37">
        <f t="shared" si="2"/>
        <v>413506.6706</v>
      </c>
      <c r="H19" s="38"/>
      <c r="I19" s="36">
        <v>30.0</v>
      </c>
      <c r="J19" s="34">
        <v>0.09279537816909693</v>
      </c>
      <c r="K19" s="37">
        <f t="shared" si="3"/>
        <v>463976.8908</v>
      </c>
      <c r="L19" s="54"/>
      <c r="M19" s="59"/>
      <c r="N19" s="56"/>
      <c r="O19" s="60"/>
    </row>
    <row r="20">
      <c r="A20" s="42">
        <v>36.0</v>
      </c>
      <c r="B20" s="34">
        <v>0.06880274158729847</v>
      </c>
      <c r="C20" s="53">
        <f t="shared" si="1"/>
        <v>344013.7079</v>
      </c>
      <c r="D20" s="40"/>
      <c r="E20" s="41">
        <v>32.0</v>
      </c>
      <c r="F20" s="34">
        <v>0.08122325048544532</v>
      </c>
      <c r="G20" s="35">
        <f t="shared" si="2"/>
        <v>406116.2524</v>
      </c>
      <c r="H20" s="40"/>
      <c r="I20" s="41"/>
      <c r="J20" s="34"/>
      <c r="K20" s="35"/>
      <c r="L20" s="54"/>
      <c r="M20" s="55"/>
      <c r="N20" s="56"/>
      <c r="O20" s="57"/>
    </row>
    <row r="21" ht="15.75" customHeight="1">
      <c r="A21" s="42">
        <v>48.0</v>
      </c>
      <c r="B21" s="34">
        <v>0.06433659329814143</v>
      </c>
      <c r="C21" s="53">
        <f t="shared" si="1"/>
        <v>321682.9665</v>
      </c>
      <c r="D21" s="40"/>
      <c r="E21" s="41">
        <v>34.0</v>
      </c>
      <c r="F21" s="34">
        <v>0.07998075052028143</v>
      </c>
      <c r="G21" s="35">
        <f t="shared" si="2"/>
        <v>399903.7526</v>
      </c>
      <c r="H21" s="40"/>
      <c r="I21" s="41"/>
      <c r="J21" s="34"/>
      <c r="K21" s="35"/>
      <c r="L21" s="54"/>
      <c r="M21" s="55"/>
      <c r="N21" s="56"/>
      <c r="O21" s="57"/>
    </row>
    <row r="22" ht="15.75" customHeight="1">
      <c r="A22" s="61">
        <v>60.0</v>
      </c>
      <c r="B22" s="62">
        <v>0.062336984180982755</v>
      </c>
      <c r="C22" s="63">
        <f t="shared" si="1"/>
        <v>311684.9209</v>
      </c>
      <c r="D22" s="64"/>
      <c r="E22" s="65">
        <v>36.0</v>
      </c>
      <c r="F22" s="62">
        <v>0.07893123388600418</v>
      </c>
      <c r="G22" s="66">
        <f t="shared" si="2"/>
        <v>394656.1694</v>
      </c>
      <c r="H22" s="64"/>
      <c r="I22" s="65"/>
      <c r="J22" s="62"/>
      <c r="K22" s="66"/>
      <c r="L22" s="54"/>
      <c r="M22" s="67"/>
      <c r="N22" s="68"/>
      <c r="O22" s="69"/>
    </row>
    <row r="23" ht="15.75" customHeight="1">
      <c r="A23" s="70">
        <v>5.0</v>
      </c>
      <c r="B23" s="71" t="s">
        <v>9</v>
      </c>
      <c r="C23" s="72"/>
      <c r="D23" s="73"/>
      <c r="E23" s="70">
        <v>6.0</v>
      </c>
      <c r="F23" s="71" t="s">
        <v>10</v>
      </c>
      <c r="G23" s="72"/>
      <c r="H23" s="73"/>
      <c r="I23" s="74">
        <v>7.0</v>
      </c>
      <c r="J23" s="75" t="s">
        <v>11</v>
      </c>
      <c r="K23" s="76"/>
      <c r="L23" s="73"/>
      <c r="M23" s="77">
        <v>8.0</v>
      </c>
      <c r="N23" s="78" t="s">
        <v>11</v>
      </c>
      <c r="O23" s="79"/>
    </row>
    <row r="24" ht="15.75" customHeight="1">
      <c r="A24" s="80"/>
      <c r="B24" s="81">
        <v>0.062336984180982755</v>
      </c>
      <c r="O24" s="82"/>
    </row>
    <row r="25" ht="15.75" customHeight="1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5"/>
    </row>
    <row r="26" ht="15.75" customHeight="1">
      <c r="A26" s="86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M3:O3"/>
    <mergeCell ref="M4:O4"/>
    <mergeCell ref="M5:O5"/>
    <mergeCell ref="E4:G4"/>
    <mergeCell ref="E5:G5"/>
    <mergeCell ref="A1:B1"/>
    <mergeCell ref="A3:C3"/>
    <mergeCell ref="E3:G3"/>
    <mergeCell ref="I3:K3"/>
    <mergeCell ref="A4:C4"/>
    <mergeCell ref="I4:K4"/>
    <mergeCell ref="A5:C5"/>
    <mergeCell ref="I5:K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2024-02-14T18:54:16Z</dcterms:created>
  <dc:creator>Fedee Magnarelli</dc:creator>
</cp:coreProperties>
</file>