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84DAF031-F989-4CCC-A8D1-FA70BC53F53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➕ Nuevo Lead" sheetId="1" r:id="rId1"/>
    <sheet name="Leads" sheetId="2" r:id="rId2"/>
    <sheet name="Resumen" sheetId="3" r:id="rId3"/>
  </sheets>
  <definedNames>
    <definedName name="_xlnm._FilterDatabase" localSheetId="1" hidden="1">Leads!$A$4:$I$77</definedName>
  </definedNames>
  <calcPr calcId="181029"/>
</workbook>
</file>

<file path=xl/calcChain.xml><?xml version="1.0" encoding="utf-8"?>
<calcChain xmlns="http://schemas.openxmlformats.org/spreadsheetml/2006/main">
  <c r="B9" i="3" l="1"/>
  <c r="B8" i="3"/>
  <c r="B7" i="3"/>
  <c r="B6" i="3"/>
  <c r="B5" i="3"/>
  <c r="B4" i="3"/>
  <c r="B3" i="3"/>
  <c r="B2" i="3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B2" i="2" s="1"/>
  <c r="A8" i="2"/>
  <c r="A7" i="2"/>
  <c r="A6" i="2"/>
  <c r="H2" i="2"/>
  <c r="F2" i="2"/>
  <c r="D2" i="2"/>
</calcChain>
</file>

<file path=xl/sharedStrings.xml><?xml version="1.0" encoding="utf-8"?>
<sst xmlns="http://schemas.openxmlformats.org/spreadsheetml/2006/main" count="481" uniqueCount="258">
  <si>
    <t>➕  AGREGAR NUEVO LEAD</t>
  </si>
  <si>
    <t>Completá los datos y copiá la fila en la planilla Leads</t>
  </si>
  <si>
    <t>Nombre completo *</t>
  </si>
  <si>
    <t>Ej: Juan Pérez</t>
  </si>
  <si>
    <t>Auto / Publicación *</t>
  </si>
  <si>
    <t>Ej: Toyota RAV4 2.4 4x2</t>
  </si>
  <si>
    <t>Teléfono *</t>
  </si>
  <si>
    <t>Ej: 5492494123456</t>
  </si>
  <si>
    <t>Fecha del lead</t>
  </si>
  <si>
    <t>Ej: 10/04/2026</t>
  </si>
  <si>
    <t>Estado inicial</t>
  </si>
  <si>
    <t>⏳ Sin contactar</t>
  </si>
  <si>
    <t>Prioridad</t>
  </si>
  <si>
    <t>🟡 Media</t>
  </si>
  <si>
    <t>Notas iniciales</t>
  </si>
  <si>
    <t>Ej: Preguntó por financiación</t>
  </si>
  <si>
    <t>📋  CÓMO AGREGAR EL LEAD</t>
  </si>
  <si>
    <t>1️⃣  Completá los campos de arriba (borrá el texto gris)</t>
  </si>
  <si>
    <t>2️⃣  Andá a la hoja  Leads</t>
  </si>
  <si>
    <t>3️⃣  Hacé clic derecho en la fila 5  →  'Insertar fila'</t>
  </si>
  <si>
    <t>4️⃣  Copiá cada dato en la nueva fila</t>
  </si>
  <si>
    <t>5️⃣  El número (#1) se actualiza solo ✅</t>
  </si>
  <si>
    <t>🚗  GESTIÓN DE LEADS - MERCADO LIBRE</t>
  </si>
  <si>
    <t>TOTAL</t>
  </si>
  <si>
    <t>CONTACTADOS</t>
  </si>
  <si>
    <t>SIN CONTACTAR</t>
  </si>
  <si>
    <t>INTERESADOS</t>
  </si>
  <si>
    <t>➕ NUEVO LEAD</t>
  </si>
  <si>
    <t>#</t>
  </si>
  <si>
    <t>NOMBRE</t>
  </si>
  <si>
    <t>AUTO / PUBLICACIÓN</t>
  </si>
  <si>
    <t>TELÉFONO</t>
  </si>
  <si>
    <t>FECHA LEAD</t>
  </si>
  <si>
    <t>ESTADO</t>
  </si>
  <si>
    <t>FECHA CONTACTO</t>
  </si>
  <si>
    <t>RESULTADO / NOTAS</t>
  </si>
  <si>
    <t>PRIORIDAD</t>
  </si>
  <si>
    <t>▼</t>
  </si>
  <si>
    <t>← COMPLETÁ AQUÍ Y PRESIONÁ Ctrl+Shift+= PARA INSERTAR FILA ARRIBA</t>
  </si>
  <si>
    <t>Nicolas Alejandro Ruiz</t>
  </si>
  <si>
    <t>Ford F-150 Raptor 3.5l Bi-turbo</t>
  </si>
  <si>
    <t>542235279744</t>
  </si>
  <si>
    <t>06/04/2026 17:54</t>
  </si>
  <si>
    <t>Micaela Rabino Veyra</t>
  </si>
  <si>
    <t>Strada</t>
  </si>
  <si>
    <t>+54 9 2914 39-3018</t>
  </si>
  <si>
    <t>2026-04-05 00:00:00</t>
  </si>
  <si>
    <t>Leo</t>
  </si>
  <si>
    <t>Vito</t>
  </si>
  <si>
    <t>+54 9 2494 24-9657</t>
  </si>
  <si>
    <t>2026-04-06 00:00:00</t>
  </si>
  <si>
    <t>Matias Lazarte</t>
  </si>
  <si>
    <t xml:space="preserve">T cross </t>
  </si>
  <si>
    <t>+54 9 2494 47-7725</t>
  </si>
  <si>
    <t>Preguntar acerca de que le parecio la tcross 0km</t>
  </si>
  <si>
    <t>Alan  Thorepox</t>
  </si>
  <si>
    <t>RAM 1500 5.7 Laramie Atx V8</t>
  </si>
  <si>
    <t>+54 9 3541 54-7530</t>
  </si>
  <si>
    <t>Diego</t>
  </si>
  <si>
    <t>Camioneta que vio repreguntar</t>
  </si>
  <si>
    <t>+54 9 2494 38-0221</t>
  </si>
  <si>
    <t>Cronos</t>
  </si>
  <si>
    <t>+54 9 2494 06-3800</t>
  </si>
  <si>
    <t>Eudes Alan Alarcon</t>
  </si>
  <si>
    <t>543541547530</t>
  </si>
  <si>
    <t>2026-04-06 07:54:00</t>
  </si>
  <si>
    <t>Gonzalo Daniel Diaz</t>
  </si>
  <si>
    <t>542966747176</t>
  </si>
  <si>
    <t>05/04/2026 22:54</t>
  </si>
  <si>
    <t>Lucas Branchini</t>
  </si>
  <si>
    <t>Jeep Compass 1.3 T270 Limited 4X2 At6</t>
  </si>
  <si>
    <t>541125402034</t>
  </si>
  <si>
    <t>Ricardo Fabian Reinoso</t>
  </si>
  <si>
    <t>543764501014</t>
  </si>
  <si>
    <t>04/04/2026 22:54</t>
  </si>
  <si>
    <t>Bernardo Hector Labiste</t>
  </si>
  <si>
    <t>JMC N900</t>
  </si>
  <si>
    <t>542241462780</t>
  </si>
  <si>
    <t>Hugo Daniel Alegre</t>
  </si>
  <si>
    <t>BAIC BJ30 1.5T Bj30 2Wd Hybrid</t>
  </si>
  <si>
    <t>541123586930</t>
  </si>
  <si>
    <t>02/04/2026 22:54</t>
  </si>
  <si>
    <t>Alex Zarate Pinto</t>
  </si>
  <si>
    <t>542214553959</t>
  </si>
  <si>
    <t>Patricio Jose Gonzalez</t>
  </si>
  <si>
    <t>Volkswagen Amarok 3.0 V6 Cd Highline</t>
  </si>
  <si>
    <t>541159608528</t>
  </si>
  <si>
    <t>Leonel Ivan Rodriguez</t>
  </si>
  <si>
    <t>Volkswagen Vento 2.0 Advance 115cv Summer Package</t>
  </si>
  <si>
    <t>541139066252</t>
  </si>
  <si>
    <t>Jose Francisco Hardoy</t>
  </si>
  <si>
    <t>542262532100</t>
  </si>
  <si>
    <t>Alan Cristian Avendaño</t>
  </si>
  <si>
    <t>542974928474</t>
  </si>
  <si>
    <t>Enrique Çeduardo Hugo</t>
  </si>
  <si>
    <t>Jeep Wrangler 3.6 Unlimited 284hp Mtx</t>
  </si>
  <si>
    <t>542994018403</t>
  </si>
  <si>
    <t>Facundo Zagrodny</t>
  </si>
  <si>
    <t>542364301064</t>
  </si>
  <si>
    <t>01/04/2026 22:54</t>
  </si>
  <si>
    <t>Martinfolch FOLCH</t>
  </si>
  <si>
    <t>543516582337</t>
  </si>
  <si>
    <t>31/03/2026 22:54</t>
  </si>
  <si>
    <t>Hector Javier Ferreyra</t>
  </si>
  <si>
    <t>543516112112</t>
  </si>
  <si>
    <t>30/03/2026 22:54</t>
  </si>
  <si>
    <t>Liliana Beatriz Berti</t>
  </si>
  <si>
    <t>Volkswagen Tera 1.6 Msi Trend Mt</t>
  </si>
  <si>
    <t>542494627843</t>
  </si>
  <si>
    <t>30/03/2026 15:44</t>
  </si>
  <si>
    <t>🤝 Cerrado</t>
  </si>
  <si>
    <t>Martin Ariel MacKinze</t>
  </si>
  <si>
    <t>Mercedes-Benz Vito 1.6 111 Cdi Furgon Mixto Aa 114cv</t>
  </si>
  <si>
    <t>542494468183</t>
  </si>
  <si>
    <t>30/03/2026 11:44</t>
  </si>
  <si>
    <t>Carlos Adrian Giosa</t>
  </si>
  <si>
    <t>541160433556</t>
  </si>
  <si>
    <t>29/03/2026 19:44</t>
  </si>
  <si>
    <t>Martin Eduardo Vazquez</t>
  </si>
  <si>
    <t>541169267193</t>
  </si>
  <si>
    <t>Alejandro Cesar Ruocco</t>
  </si>
  <si>
    <t>542346619175</t>
  </si>
  <si>
    <t>28/03/2026 19:44</t>
  </si>
  <si>
    <t>Pablo Miguel Galant</t>
  </si>
  <si>
    <t>Toyota Corolla 1.8 Xli Mt 136cv</t>
  </si>
  <si>
    <t>542281557512</t>
  </si>
  <si>
    <t>27/03/2026 19:44</t>
  </si>
  <si>
    <t>Osvaldo Fabian Heffler</t>
  </si>
  <si>
    <t>542346459444</t>
  </si>
  <si>
    <t>Leandro Matias Sanchez</t>
  </si>
  <si>
    <t>542494217772</t>
  </si>
  <si>
    <t>Jesus Marcos Barrios Ortiz</t>
  </si>
  <si>
    <t>542920328969</t>
  </si>
  <si>
    <t>26/03/2026 19:44</t>
  </si>
  <si>
    <t>Facundo Miguel Mainero</t>
  </si>
  <si>
    <t>541130501904</t>
  </si>
  <si>
    <t>25/03/2026 19:44</t>
  </si>
  <si>
    <t>Ruth Maria Torres Soares</t>
  </si>
  <si>
    <t>Peugeot Partner Patagónica 1.6 Hdi</t>
  </si>
  <si>
    <t>542494579921</t>
  </si>
  <si>
    <t>24/03/2026 19:44</t>
  </si>
  <si>
    <t>Renault Kangoo Ii Express 1.6 Sce Confort</t>
  </si>
  <si>
    <t>Lucila Julieta Palagiano</t>
  </si>
  <si>
    <t>541150455769</t>
  </si>
  <si>
    <t>22/03/2026 19:44</t>
  </si>
  <si>
    <t>Ezequiel Agustin Mateos</t>
  </si>
  <si>
    <t>542494593368</t>
  </si>
  <si>
    <t>21/03/2026 19:44</t>
  </si>
  <si>
    <t>Alejandra Sonia Acosta</t>
  </si>
  <si>
    <t>Ford Ka 1.6 Plus Tattoo</t>
  </si>
  <si>
    <t>541162290132</t>
  </si>
  <si>
    <t>19/03/2026 19:44</t>
  </si>
  <si>
    <t>Gerardo Marcelo Aguirre</t>
  </si>
  <si>
    <t>543624729146</t>
  </si>
  <si>
    <t>Christian Claudio Luis Dominguez</t>
  </si>
  <si>
    <t>541168667544</t>
  </si>
  <si>
    <t>18/03/2026 19:44</t>
  </si>
  <si>
    <t>Raul Guillermo Pombo</t>
  </si>
  <si>
    <t>542942560333</t>
  </si>
  <si>
    <t>Jose Luis Loyte</t>
  </si>
  <si>
    <t>541166546439</t>
  </si>
  <si>
    <t>Silvia Lucia Ponce</t>
  </si>
  <si>
    <t>541136873217</t>
  </si>
  <si>
    <t>Mauricio Lertora</t>
  </si>
  <si>
    <t>5402214844403</t>
  </si>
  <si>
    <t>Claudio Fernando Silva</t>
  </si>
  <si>
    <t>541149920616</t>
  </si>
  <si>
    <t>Mario Hector Garcia</t>
  </si>
  <si>
    <t>542364695672</t>
  </si>
  <si>
    <t>17/03/2026 19:44</t>
  </si>
  <si>
    <t>Facundo Ezequiel Padin</t>
  </si>
  <si>
    <t>Volkswagen Suran 1.6 Comfortline 101cv</t>
  </si>
  <si>
    <t>541136449055</t>
  </si>
  <si>
    <t>16/03/2026 19:44</t>
  </si>
  <si>
    <t>Maria Gabriela Pastormerlo</t>
  </si>
  <si>
    <t>542314418367</t>
  </si>
  <si>
    <t>Santiago Daniel Prego</t>
  </si>
  <si>
    <t>5401122111166</t>
  </si>
  <si>
    <t>15/03/2026 19:44</t>
  </si>
  <si>
    <t>Julian Gonzalez Meyer</t>
  </si>
  <si>
    <t>BAIC BJ30 1.5T Bj30 4Wd Hybrid</t>
  </si>
  <si>
    <t>541138578755</t>
  </si>
  <si>
    <t>Leonardo Esteban Zanabre</t>
  </si>
  <si>
    <t>542235219072</t>
  </si>
  <si>
    <t>10/03/2026 19:44</t>
  </si>
  <si>
    <t>Emiliano Haag</t>
  </si>
  <si>
    <t>542494249236</t>
  </si>
  <si>
    <t>09/03/2026 19:44</t>
  </si>
  <si>
    <t>Facundo Edgardo Canonica</t>
  </si>
  <si>
    <t>542494352448</t>
  </si>
  <si>
    <t>07/03/2026 19:44</t>
  </si>
  <si>
    <t>Rocio Belen Garnica</t>
  </si>
  <si>
    <t>542262220202</t>
  </si>
  <si>
    <t>05/03/2026 19:44</t>
  </si>
  <si>
    <t>Eduardo Fabricio Sinnott</t>
  </si>
  <si>
    <t>542244474030</t>
  </si>
  <si>
    <t>04/03/2026 19:44</t>
  </si>
  <si>
    <t>Luciano Daniel Disipio</t>
  </si>
  <si>
    <t>542281516646</t>
  </si>
  <si>
    <t>Walter Marcelo Muñoz</t>
  </si>
  <si>
    <t>Fiat Toro 1.8 Freedom 4X2 At</t>
  </si>
  <si>
    <t>542281471451</t>
  </si>
  <si>
    <t>03/03/2026 19:44</t>
  </si>
  <si>
    <t>Martin Leonardo Malato</t>
  </si>
  <si>
    <t>541161201001</t>
  </si>
  <si>
    <t>02/03/2026 19:44</t>
  </si>
  <si>
    <t>Maria Victoria Diperna</t>
  </si>
  <si>
    <t>Toyota RAV4 2.4 4x2 At</t>
  </si>
  <si>
    <t>542215795864</t>
  </si>
  <si>
    <t>28/02/2026 19:44</t>
  </si>
  <si>
    <t>Gerardo Jose Morinigo Reyen</t>
  </si>
  <si>
    <t>Chevrolet Corsa 1.6 Gl Aa Dh</t>
  </si>
  <si>
    <t>541139316292</t>
  </si>
  <si>
    <t>27/02/2026 19:44</t>
  </si>
  <si>
    <t>David Rolando Choque Canqui</t>
  </si>
  <si>
    <t>543564376636</t>
  </si>
  <si>
    <t>26/02/2026 19:44</t>
  </si>
  <si>
    <t>Claudia Andrea Pastor</t>
  </si>
  <si>
    <t>540229315658080</t>
  </si>
  <si>
    <t>24/02/2026 19:44</t>
  </si>
  <si>
    <t>Francisco Jose Ezcurdia</t>
  </si>
  <si>
    <t>542266510290</t>
  </si>
  <si>
    <t>Andres Pablo Roberto Mazza</t>
  </si>
  <si>
    <t>541155142154</t>
  </si>
  <si>
    <t>23/02/2026 19:44</t>
  </si>
  <si>
    <t>Vicente Baltazar Roman</t>
  </si>
  <si>
    <t>541159823858</t>
  </si>
  <si>
    <t>RACHU ACCESO Y DISENO</t>
  </si>
  <si>
    <t>BMW X5 3.0 Xdrive 35i 306cv Pure Excellence</t>
  </si>
  <si>
    <t>541160996123</t>
  </si>
  <si>
    <t>Silvana Beatriz Atino</t>
  </si>
  <si>
    <t>541133325091</t>
  </si>
  <si>
    <t>20/02/2026 19:44</t>
  </si>
  <si>
    <t>Catalina Ayelen Lujan</t>
  </si>
  <si>
    <t>542267532687</t>
  </si>
  <si>
    <t>Mauricio Jose Castro Maluta</t>
  </si>
  <si>
    <t>Fiat Uno 1.4 Attractive</t>
  </si>
  <si>
    <t>542494611177</t>
  </si>
  <si>
    <t>Lucas Ezequiel Colomba</t>
  </si>
  <si>
    <t>542345688927</t>
  </si>
  <si>
    <t>18/02/2026 19:44</t>
  </si>
  <si>
    <t>Agustin Comtrera</t>
  </si>
  <si>
    <t>Fiat Palio 1.4 Weekend Attractive 87cv</t>
  </si>
  <si>
    <t>541128679939</t>
  </si>
  <si>
    <t>Ruben Eduardo Manriquez</t>
  </si>
  <si>
    <t>542983410781</t>
  </si>
  <si>
    <t>14/02/2026 19:44</t>
  </si>
  <si>
    <t>JACA S A JACA S A</t>
  </si>
  <si>
    <t>542234170621</t>
  </si>
  <si>
    <t>11/02/2026 19:45</t>
  </si>
  <si>
    <t>📊  RESUMEN DE GESTIÓN</t>
  </si>
  <si>
    <t>Total leads</t>
  </si>
  <si>
    <t>✅ Interesados</t>
  </si>
  <si>
    <t>📞 A recontactar</t>
  </si>
  <si>
    <t>❌ No contesta</t>
  </si>
  <si>
    <t>🚫 No interesados</t>
  </si>
  <si>
    <t>🤝 Cerrados</t>
  </si>
  <si>
    <t>% Contactados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</si>
</sst>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2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9"/>
      <color rgb="FF888888"/>
      <name val="Calibri"/>
    </font>
    <font>
      <b/>
      <sz val="14"/>
      <color rgb="FF1A1A2E"/>
      <name val="Calibri"/>
    </font>
    <font>
      <b/>
      <sz val="11"/>
      <color rgb="FFFFFFFF"/>
      <name val="Calibri"/>
    </font>
    <font>
      <sz val="10"/>
      <color rgb="FFAAAAAA"/>
      <name val="Calibri"/>
    </font>
    <font>
      <b/>
      <sz val="10"/>
      <color rgb="FF1A1A2E"/>
      <name val="Calibri"/>
    </font>
    <font>
      <sz val="10"/>
      <color rgb="FF444444"/>
      <name val="Calibri"/>
    </font>
    <font>
      <sz val="10"/>
      <color rgb="FF1A1A2E"/>
      <name val="Calibri"/>
    </font>
    <font>
      <sz val="10"/>
      <color rgb="FF555555"/>
      <name val="Calibri"/>
    </font>
    <font>
      <sz val="10"/>
      <color rgb="FF6C757D"/>
      <name val="Calibri"/>
    </font>
    <font>
      <sz val="10"/>
      <name val="Calibri"/>
    </font>
    <font>
      <sz val="10"/>
      <color rgb="FF333333"/>
      <name val="Calibri"/>
    </font>
    <font>
      <b/>
      <sz val="14"/>
      <color rgb="FFFFFFFF"/>
      <name val="Calibri"/>
    </font>
    <font>
      <b/>
      <sz val="11"/>
      <color rgb="FF1A1A2E"/>
      <name val="Calibri"/>
    </font>
    <font>
      <b/>
      <sz val="13"/>
      <color rgb="FF0D1B2A"/>
      <name val="Calibri"/>
    </font>
    <font>
      <i/>
      <sz val="10"/>
      <color rgb="FF888888"/>
      <name val="Calibri"/>
    </font>
    <font>
      <b/>
      <sz val="9"/>
      <color rgb="FFFFFFFF"/>
      <name val="Calibri"/>
    </font>
    <font>
      <i/>
      <sz val="11"/>
      <color rgb="FFAAAAAA"/>
      <name val="Calibri"/>
    </font>
    <font>
      <sz val="10"/>
      <color rgb="FF5D4037"/>
      <name val="Calibri"/>
    </font>
    <font>
      <b/>
      <sz val="10"/>
      <color rgb="FFFFFFFF"/>
      <name val="Calibri"/>
    </font>
    <font>
      <b/>
      <sz val="12"/>
      <color rgb="FFE63946"/>
      <name val="Calibri"/>
    </font>
    <font>
      <b/>
      <i/>
      <sz val="9"/>
      <color rgb="FF7D5A00"/>
      <name val="Calibri"/>
    </font>
    <font>
      <sz val="10"/>
      <color rgb="FF7D5A00"/>
      <name val="Calibri"/>
    </font>
  </fonts>
  <fills count="20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F0F2FA"/>
      </patternFill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8F9FF"/>
      </patternFill>
    </fill>
    <fill>
      <patternFill patternType="solid">
        <fgColor rgb="FFF0F4FF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8D7DA"/>
      </patternFill>
    </fill>
    <fill>
      <patternFill patternType="solid">
        <fgColor rgb="FFE2E3E5"/>
      </patternFill>
    </fill>
    <fill>
      <patternFill patternType="solid">
        <fgColor rgb="FFCCE5FF"/>
      </patternFill>
    </fill>
    <fill>
      <patternFill patternType="solid">
        <fgColor rgb="FFE8F5E9"/>
      </patternFill>
    </fill>
    <fill>
      <patternFill patternType="solid">
        <fgColor rgb="FFFAFBFF"/>
      </patternFill>
    </fill>
    <fill>
      <patternFill patternType="solid">
        <fgColor rgb="FFFFB703"/>
      </patternFill>
    </fill>
    <fill>
      <patternFill patternType="solid">
        <fgColor rgb="FFFFFDE7"/>
      </patternFill>
    </fill>
    <fill>
      <patternFill patternType="solid">
        <fgColor rgb="FFFFFBF0"/>
      </patternFill>
    </fill>
    <fill>
      <patternFill patternType="solid">
        <fgColor rgb="FFE63946"/>
      </patternFill>
    </fill>
    <fill>
      <patternFill patternType="solid">
        <fgColor rgb="FFFFF9C4"/>
      </patternFill>
    </fill>
  </fills>
  <borders count="9">
    <border>
      <left/>
      <right/>
      <top/>
      <bottom/>
      <diagonal/>
    </border>
    <border>
      <left style="thin">
        <color rgb="FFC8CCE0"/>
      </left>
      <right style="thin">
        <color rgb="FFC8CCE0"/>
      </right>
      <top style="thin">
        <color rgb="FFC8CCE0"/>
      </top>
      <bottom style="thin">
        <color rgb="FFC8CCE0"/>
      </bottom>
      <diagonal/>
    </border>
    <border>
      <left style="thin">
        <color rgb="FF2C2C4A"/>
      </left>
      <right style="thin">
        <color rgb="FF2C2C4A"/>
      </right>
      <top style="thin">
        <color rgb="FF2C2C4A"/>
      </top>
      <bottom style="thin">
        <color rgb="FF2C2C4A"/>
      </bottom>
      <diagonal/>
    </border>
    <border>
      <left style="thin">
        <color rgb="FFD0D5E8"/>
      </left>
      <right style="thin">
        <color rgb="FFD0D5E8"/>
      </right>
      <top style="thin">
        <color rgb="FFD0D5E8"/>
      </top>
      <bottom style="thin">
        <color rgb="FFD0D5E8"/>
      </bottom>
      <diagonal/>
    </border>
    <border>
      <left style="thin">
        <color rgb="FFB0B8D0"/>
      </left>
      <right style="thin">
        <color rgb="FFB0B8D0"/>
      </right>
      <top style="thin">
        <color rgb="FFB0B8D0"/>
      </top>
      <bottom style="thin">
        <color rgb="FFB0B8D0"/>
      </bottom>
      <diagonal/>
    </border>
    <border>
      <left style="thin">
        <color rgb="FFE8C840"/>
      </left>
      <right style="thin">
        <color rgb="FFE8C840"/>
      </right>
      <top style="thin">
        <color rgb="FFE8C840"/>
      </top>
      <bottom style="thin">
        <color rgb="FFE8C840"/>
      </bottom>
      <diagonal/>
    </border>
    <border>
      <left/>
      <right style="thin">
        <color rgb="FFE8C840"/>
      </right>
      <top style="thin">
        <color rgb="FFE8C840"/>
      </top>
      <bottom style="thin">
        <color rgb="FFE8C840"/>
      </bottom>
      <diagonal/>
    </border>
    <border>
      <left/>
      <right style="thin">
        <color rgb="FFB0B8D0"/>
      </right>
      <top style="thin">
        <color rgb="FFB0B8D0"/>
      </top>
      <bottom style="thin">
        <color rgb="FFB0B8D0"/>
      </bottom>
      <diagonal/>
    </border>
    <border>
      <left style="medium">
        <color rgb="FFB02030"/>
      </left>
      <right style="medium">
        <color rgb="FFB02030"/>
      </right>
      <top style="medium">
        <color rgb="FFB02030"/>
      </top>
      <bottom style="medium">
        <color rgb="FFB0203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4" borderId="0" xfId="0" applyFill="1"/>
    <xf numFmtId="0" fontId="4" fillId="4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 wrapText="1"/>
    </xf>
    <xf numFmtId="49" fontId="8" fillId="5" borderId="3" xfId="0" applyNumberFormat="1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164" fontId="11" fillId="5" borderId="3" xfId="0" applyNumberFormat="1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vertical="center" wrapText="1"/>
    </xf>
    <xf numFmtId="0" fontId="11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vertical="center" wrapText="1"/>
    </xf>
    <xf numFmtId="49" fontId="8" fillId="6" borderId="3" xfId="0" applyNumberFormat="1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164" fontId="11" fillId="6" borderId="3" xfId="0" applyNumberFormat="1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vertical="center" wrapText="1"/>
    </xf>
    <xf numFmtId="0" fontId="11" fillId="6" borderId="3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vertical="center" indent="1"/>
    </xf>
    <xf numFmtId="0" fontId="15" fillId="7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vertical="center" indent="1"/>
    </xf>
    <xf numFmtId="0" fontId="15" fillId="8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vertical="center" indent="1"/>
    </xf>
    <xf numFmtId="0" fontId="15" fillId="9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vertical="center" indent="1"/>
    </xf>
    <xf numFmtId="0" fontId="15" fillId="10" borderId="3" xfId="0" applyFont="1" applyFill="1" applyBorder="1" applyAlignment="1">
      <alignment horizontal="center" vertical="center"/>
    </xf>
    <xf numFmtId="0" fontId="14" fillId="11" borderId="3" xfId="0" applyFont="1" applyFill="1" applyBorder="1" applyAlignment="1">
      <alignment vertical="center" indent="1"/>
    </xf>
    <xf numFmtId="0" fontId="15" fillId="11" borderId="3" xfId="0" applyFont="1" applyFill="1" applyBorder="1" applyAlignment="1">
      <alignment horizontal="center" vertical="center"/>
    </xf>
    <xf numFmtId="0" fontId="14" fillId="12" borderId="3" xfId="0" applyFont="1" applyFill="1" applyBorder="1" applyAlignment="1">
      <alignment vertical="center" indent="1"/>
    </xf>
    <xf numFmtId="0" fontId="15" fillId="12" borderId="3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vertical="center" indent="1"/>
    </xf>
    <xf numFmtId="0" fontId="15" fillId="6" borderId="3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vertical="center" indent="1"/>
    </xf>
    <xf numFmtId="165" fontId="15" fillId="13" borderId="3" xfId="0" applyNumberFormat="1" applyFont="1" applyFill="1" applyBorder="1" applyAlignment="1">
      <alignment horizontal="center" vertical="center"/>
    </xf>
    <xf numFmtId="0" fontId="0" fillId="3" borderId="0" xfId="0" applyFill="1"/>
    <xf numFmtId="0" fontId="20" fillId="18" borderId="8" xfId="0" applyFont="1" applyFill="1" applyBorder="1" applyAlignment="1">
      <alignment horizontal="center" vertical="center"/>
    </xf>
    <xf numFmtId="0" fontId="21" fillId="19" borderId="5" xfId="0" applyFont="1" applyFill="1" applyBorder="1" applyAlignment="1">
      <alignment horizontal="center" vertical="center"/>
    </xf>
    <xf numFmtId="0" fontId="22" fillId="19" borderId="5" xfId="0" applyFont="1" applyFill="1" applyBorder="1" applyAlignment="1">
      <alignment horizontal="left" vertical="center" indent="1"/>
    </xf>
    <xf numFmtId="0" fontId="23" fillId="19" borderId="5" xfId="0" applyFont="1" applyFill="1" applyBorder="1" applyAlignment="1">
      <alignment horizontal="left" vertical="center"/>
    </xf>
    <xf numFmtId="0" fontId="23" fillId="19" borderId="5" xfId="0" applyFont="1" applyFill="1" applyBorder="1" applyAlignment="1">
      <alignment horizontal="center" vertical="center"/>
    </xf>
    <xf numFmtId="0" fontId="17" fillId="4" borderId="0" xfId="0" applyFont="1" applyFill="1" applyAlignment="1">
      <alignment vertical="center" indent="1"/>
    </xf>
    <xf numFmtId="0" fontId="0" fillId="0" borderId="0" xfId="0"/>
    <xf numFmtId="0" fontId="19" fillId="17" borderId="5" xfId="0" applyFont="1" applyFill="1" applyBorder="1" applyAlignment="1">
      <alignment vertical="center" indent="1"/>
    </xf>
    <xf numFmtId="0" fontId="0" fillId="0" borderId="6" xfId="0" applyBorder="1"/>
    <xf numFmtId="0" fontId="4" fillId="15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8" fillId="14" borderId="4" xfId="0" applyFont="1" applyFill="1" applyBorder="1" applyAlignment="1">
      <alignment vertical="center" indent="1"/>
    </xf>
    <xf numFmtId="0" fontId="0" fillId="0" borderId="7" xfId="0" applyBorder="1"/>
    <xf numFmtId="0" fontId="1" fillId="4" borderId="0" xfId="0" applyFont="1" applyFill="1" applyAlignment="1">
      <alignment horizontal="center" vertical="center"/>
    </xf>
    <xf numFmtId="0" fontId="19" fillId="16" borderId="5" xfId="0" applyFont="1" applyFill="1" applyBorder="1" applyAlignment="1">
      <alignment vertical="center" indent="1"/>
    </xf>
    <xf numFmtId="0" fontId="1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b/>
        <color rgb="FF6C757D"/>
      </font>
      <fill>
        <patternFill>
          <bgColor rgb="FFF8F9FF"/>
        </patternFill>
      </fill>
    </dxf>
    <dxf>
      <font>
        <b/>
        <color rgb="FF004085"/>
      </font>
      <fill>
        <patternFill>
          <bgColor rgb="FFCCE5FF"/>
        </patternFill>
      </fill>
    </dxf>
    <dxf>
      <font>
        <b/>
        <color rgb="FF383D41"/>
      </font>
      <fill>
        <patternFill>
          <bgColor rgb="FFE2E3E5"/>
        </patternFill>
      </fill>
    </dxf>
    <dxf>
      <font>
        <b/>
        <color rgb="FF721C24"/>
      </font>
      <fill>
        <patternFill>
          <bgColor rgb="FFF8D7DA"/>
        </patternFill>
      </fill>
    </dxf>
    <dxf>
      <font>
        <b/>
        <color rgb="FF7D5A00"/>
      </font>
      <fill>
        <patternFill>
          <bgColor rgb="FFFFF3CD"/>
        </patternFill>
      </fill>
    </dxf>
    <dxf>
      <font>
        <b/>
        <color rgb="FF155724"/>
      </font>
      <fill>
        <patternFill>
          <bgColor rgb="FFD4EDDA"/>
        </patternFill>
      </fill>
    </dxf>
    <dxf>
      <font>
        <b/>
        <color rgb="FF6C757D"/>
      </font>
      <fill>
        <patternFill>
          <bgColor rgb="FFF8F9FF"/>
        </patternFill>
      </fill>
    </dxf>
    <dxf>
      <font>
        <b/>
        <color rgb="FF004085"/>
      </font>
      <fill>
        <patternFill>
          <bgColor rgb="FFCCE5FF"/>
        </patternFill>
      </fill>
    </dxf>
    <dxf>
      <font>
        <b/>
        <color rgb="FF383D41"/>
      </font>
      <fill>
        <patternFill>
          <bgColor rgb="FFE2E3E5"/>
        </patternFill>
      </fill>
    </dxf>
    <dxf>
      <font>
        <b/>
        <color rgb="FF721C24"/>
      </font>
      <fill>
        <patternFill>
          <bgColor rgb="FFF8D7DA"/>
        </patternFill>
      </fill>
    </dxf>
    <dxf>
      <font>
        <b/>
        <color rgb="FF7D5A00"/>
      </font>
      <fill>
        <patternFill>
          <bgColor rgb="FFFFF3CD"/>
        </patternFill>
      </fill>
    </dxf>
    <dxf>
      <font>
        <b/>
        <color rgb="FF155724"/>
      </font>
      <fill>
        <patternFill>
          <bgColor rgb="FFD4EDDA"/>
        </patternFill>
      </fill>
    </dxf>
    <dxf>
      <fill>
        <patternFill>
          <bgColor rgb="FFEBF5FB"/>
        </patternFill>
      </fill>
    </dxf>
    <dxf>
      <fill>
        <patternFill>
          <bgColor rgb="FFFFFD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3"/>
  <sheetViews>
    <sheetView showGridLines="0" topLeftCell="A19" workbookViewId="0">
      <selection activeCell="B5" sqref="B5:C5"/>
    </sheetView>
  </sheetViews>
  <sheetFormatPr baseColWidth="10" defaultColWidth="9.140625" defaultRowHeight="15" x14ac:dyDescent="0.25"/>
  <cols>
    <col min="1" max="1" width="3" customWidth="1"/>
    <col min="2" max="2" width="22" customWidth="1"/>
    <col min="3" max="3" width="40" customWidth="1"/>
    <col min="4" max="4" width="3" customWidth="1"/>
  </cols>
  <sheetData>
    <row r="1" spans="2:3" ht="45" customHeight="1" x14ac:dyDescent="0.25">
      <c r="B1" s="53" t="s">
        <v>0</v>
      </c>
      <c r="C1" s="46"/>
    </row>
    <row r="2" spans="2:3" ht="20.100000000000001" customHeight="1" x14ac:dyDescent="0.25">
      <c r="B2" s="50" t="s">
        <v>1</v>
      </c>
      <c r="C2" s="46"/>
    </row>
    <row r="4" spans="2:3" ht="20.100000000000001" customHeight="1" x14ac:dyDescent="0.25">
      <c r="B4" s="45" t="s">
        <v>2</v>
      </c>
      <c r="C4" s="46"/>
    </row>
    <row r="5" spans="2:3" ht="26.1" customHeight="1" x14ac:dyDescent="0.25">
      <c r="B5" s="51" t="s">
        <v>3</v>
      </c>
      <c r="C5" s="52"/>
    </row>
    <row r="6" spans="2:3" ht="3.95" customHeight="1" x14ac:dyDescent="0.25">
      <c r="B6" s="39"/>
      <c r="C6" s="39"/>
    </row>
    <row r="7" spans="2:3" ht="20.100000000000001" customHeight="1" x14ac:dyDescent="0.25">
      <c r="B7" s="45" t="s">
        <v>4</v>
      </c>
      <c r="C7" s="46"/>
    </row>
    <row r="8" spans="2:3" ht="26.1" customHeight="1" x14ac:dyDescent="0.25">
      <c r="B8" s="51" t="s">
        <v>5</v>
      </c>
      <c r="C8" s="52"/>
    </row>
    <row r="9" spans="2:3" ht="3.95" customHeight="1" x14ac:dyDescent="0.25">
      <c r="B9" s="39"/>
      <c r="C9" s="39"/>
    </row>
    <row r="10" spans="2:3" ht="20.100000000000001" customHeight="1" x14ac:dyDescent="0.25">
      <c r="B10" s="45" t="s">
        <v>6</v>
      </c>
      <c r="C10" s="46"/>
    </row>
    <row r="11" spans="2:3" ht="26.1" customHeight="1" x14ac:dyDescent="0.25">
      <c r="B11" s="51" t="s">
        <v>7</v>
      </c>
      <c r="C11" s="52"/>
    </row>
    <row r="12" spans="2:3" ht="3.95" customHeight="1" x14ac:dyDescent="0.25">
      <c r="B12" s="39"/>
      <c r="C12" s="39"/>
    </row>
    <row r="13" spans="2:3" ht="20.100000000000001" customHeight="1" x14ac:dyDescent="0.25">
      <c r="B13" s="45" t="s">
        <v>8</v>
      </c>
      <c r="C13" s="46"/>
    </row>
    <row r="14" spans="2:3" ht="26.1" customHeight="1" x14ac:dyDescent="0.25">
      <c r="B14" s="51" t="s">
        <v>9</v>
      </c>
      <c r="C14" s="52"/>
    </row>
    <row r="15" spans="2:3" ht="3.95" customHeight="1" x14ac:dyDescent="0.25">
      <c r="B15" s="39"/>
      <c r="C15" s="39"/>
    </row>
    <row r="16" spans="2:3" ht="20.100000000000001" customHeight="1" x14ac:dyDescent="0.25">
      <c r="B16" s="45" t="s">
        <v>10</v>
      </c>
      <c r="C16" s="46"/>
    </row>
    <row r="17" spans="2:3" ht="26.1" customHeight="1" x14ac:dyDescent="0.25">
      <c r="B17" s="51" t="s">
        <v>11</v>
      </c>
      <c r="C17" s="52"/>
    </row>
    <row r="18" spans="2:3" ht="3.95" customHeight="1" x14ac:dyDescent="0.25">
      <c r="B18" s="39"/>
      <c r="C18" s="39"/>
    </row>
    <row r="19" spans="2:3" ht="20.100000000000001" customHeight="1" x14ac:dyDescent="0.25">
      <c r="B19" s="45" t="s">
        <v>12</v>
      </c>
      <c r="C19" s="46"/>
    </row>
    <row r="20" spans="2:3" ht="26.1" customHeight="1" x14ac:dyDescent="0.25">
      <c r="B20" s="51" t="s">
        <v>13</v>
      </c>
      <c r="C20" s="52"/>
    </row>
    <row r="21" spans="2:3" ht="3.95" customHeight="1" x14ac:dyDescent="0.25">
      <c r="B21" s="39"/>
      <c r="C21" s="39"/>
    </row>
    <row r="22" spans="2:3" ht="20.100000000000001" customHeight="1" x14ac:dyDescent="0.25">
      <c r="B22" s="45" t="s">
        <v>14</v>
      </c>
      <c r="C22" s="46"/>
    </row>
    <row r="23" spans="2:3" ht="26.1" customHeight="1" x14ac:dyDescent="0.25">
      <c r="B23" s="51" t="s">
        <v>15</v>
      </c>
      <c r="C23" s="52"/>
    </row>
    <row r="24" spans="2:3" ht="3.95" customHeight="1" x14ac:dyDescent="0.25">
      <c r="B24" s="39"/>
      <c r="C24" s="39"/>
    </row>
    <row r="26" spans="2:3" ht="8.1" customHeight="1" x14ac:dyDescent="0.25"/>
    <row r="27" spans="2:3" ht="27.95" customHeight="1" x14ac:dyDescent="0.25">
      <c r="B27" s="49" t="s">
        <v>16</v>
      </c>
      <c r="C27" s="46"/>
    </row>
    <row r="28" spans="2:3" ht="21.95" customHeight="1" x14ac:dyDescent="0.25">
      <c r="B28" s="54" t="s">
        <v>17</v>
      </c>
      <c r="C28" s="48"/>
    </row>
    <row r="29" spans="2:3" ht="21.95" customHeight="1" x14ac:dyDescent="0.25">
      <c r="B29" s="47" t="s">
        <v>18</v>
      </c>
      <c r="C29" s="48"/>
    </row>
    <row r="30" spans="2:3" ht="21.95" customHeight="1" x14ac:dyDescent="0.25">
      <c r="B30" s="54" t="s">
        <v>19</v>
      </c>
      <c r="C30" s="48"/>
    </row>
    <row r="31" spans="2:3" ht="21.95" customHeight="1" x14ac:dyDescent="0.25">
      <c r="B31" s="47" t="s">
        <v>20</v>
      </c>
      <c r="C31" s="48"/>
    </row>
    <row r="32" spans="2:3" ht="21.95" customHeight="1" x14ac:dyDescent="0.25">
      <c r="B32" s="54" t="s">
        <v>21</v>
      </c>
      <c r="C32" s="48"/>
    </row>
    <row r="33" ht="8.1" customHeight="1" x14ac:dyDescent="0.25"/>
  </sheetData>
  <mergeCells count="22">
    <mergeCell ref="B32:C32"/>
    <mergeCell ref="B4:C4"/>
    <mergeCell ref="B1:C1"/>
    <mergeCell ref="B8:C8"/>
    <mergeCell ref="B13:C13"/>
    <mergeCell ref="B29:C29"/>
    <mergeCell ref="B19:C19"/>
    <mergeCell ref="B10:C10"/>
    <mergeCell ref="B28:C28"/>
    <mergeCell ref="B5:C5"/>
    <mergeCell ref="B20:C20"/>
    <mergeCell ref="B2:C2"/>
    <mergeCell ref="B11:C11"/>
    <mergeCell ref="B23:C23"/>
    <mergeCell ref="B14:C14"/>
    <mergeCell ref="B17:C17"/>
    <mergeCell ref="B16:C16"/>
    <mergeCell ref="B7:C7"/>
    <mergeCell ref="B22:C22"/>
    <mergeCell ref="B31:C31"/>
    <mergeCell ref="B27:C27"/>
    <mergeCell ref="B30:C30"/>
  </mergeCells>
  <dataValidations count="2">
    <dataValidation type="list" allowBlank="1" sqref="B17:C17" xr:uid="{00000000-0002-0000-0000-000000000000}">
      <formula1>"✅ Interesado,📞 Recontactar,❌ No contesta,🚫 No interesado,🤝 Cerrado,⏳ Sin contactar"</formula1>
    </dataValidation>
    <dataValidation type="list" allowBlank="1" sqref="B20:C20" xr:uid="{00000000-0002-0000-0000-000001000000}">
      <formula1>"🔴 Alta,🟡 Media,🟢 Baja"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"/>
  <sheetViews>
    <sheetView showGridLines="0" tabSelected="1" workbookViewId="0">
      <pane ySplit="5" topLeftCell="A12" activePane="bottomLeft" state="frozen"/>
      <selection pane="bottomLeft" activeCell="A5" sqref="A5:XFD5"/>
    </sheetView>
  </sheetViews>
  <sheetFormatPr baseColWidth="10" defaultColWidth="9.140625" defaultRowHeight="15" x14ac:dyDescent="0.25"/>
  <cols>
    <col min="1" max="1" width="3" customWidth="1"/>
    <col min="2" max="2" width="24" customWidth="1"/>
    <col min="3" max="3" width="30" customWidth="1"/>
    <col min="4" max="4" width="17" customWidth="1"/>
    <col min="5" max="5" width="14" customWidth="1"/>
    <col min="6" max="6" width="18" customWidth="1"/>
    <col min="7" max="7" width="14" customWidth="1"/>
    <col min="8" max="8" width="35" customWidth="1"/>
    <col min="9" max="9" width="11" customWidth="1"/>
  </cols>
  <sheetData>
    <row r="1" spans="1:9" ht="39.950000000000003" customHeight="1" x14ac:dyDescent="0.25">
      <c r="A1" s="55" t="s">
        <v>22</v>
      </c>
      <c r="B1" s="46"/>
      <c r="C1" s="46"/>
      <c r="D1" s="46"/>
      <c r="E1" s="46"/>
      <c r="F1" s="46"/>
      <c r="G1" s="46"/>
      <c r="H1" s="46"/>
      <c r="I1" s="46"/>
    </row>
    <row r="2" spans="1:9" ht="27.95" customHeight="1" x14ac:dyDescent="0.25">
      <c r="A2" s="1" t="s">
        <v>23</v>
      </c>
      <c r="B2" s="2">
        <f>COUNTA(A4:A1000)</f>
        <v>74</v>
      </c>
      <c r="C2" s="1" t="s">
        <v>24</v>
      </c>
      <c r="D2" s="2">
        <f>COUNTIF(F4:F1000,"✅ Interesado")+COUNTIF(F4:F1000,"🚫 No interesado")+COUNTIF(F4:F1000,"🤝 Cerrado")+COUNTIF(F4:F1000,"❌ No contesta")</f>
        <v>50</v>
      </c>
      <c r="E2" s="1" t="s">
        <v>25</v>
      </c>
      <c r="F2" s="2">
        <f>COUNTIF(F4:F1000,"⏳ Sin contactar")</f>
        <v>22</v>
      </c>
      <c r="G2" s="1" t="s">
        <v>26</v>
      </c>
      <c r="H2" s="2">
        <f>COUNTIF(F4:F1000,"✅ Interesado")+COUNTIF(F4:F1000,"🤝 Cerrado")</f>
        <v>50</v>
      </c>
      <c r="I2" s="40" t="s">
        <v>27</v>
      </c>
    </row>
    <row r="3" spans="1:9" ht="6" customHeight="1" x14ac:dyDescent="0.25">
      <c r="A3" s="3"/>
      <c r="B3" s="3"/>
      <c r="C3" s="3"/>
      <c r="D3" s="3"/>
      <c r="E3" s="3"/>
      <c r="F3" s="3"/>
      <c r="G3" s="3"/>
      <c r="H3" s="3"/>
      <c r="I3" s="3"/>
    </row>
    <row r="4" spans="1:9" ht="36" customHeight="1" x14ac:dyDescent="0.25">
      <c r="A4" s="4" t="s">
        <v>28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4" t="s">
        <v>36</v>
      </c>
    </row>
    <row r="5" spans="1:9" ht="24" customHeight="1" x14ac:dyDescent="0.25">
      <c r="A5" s="41" t="s">
        <v>37</v>
      </c>
      <c r="B5" s="42" t="s">
        <v>38</v>
      </c>
      <c r="C5" s="43"/>
      <c r="D5" s="43"/>
      <c r="E5" s="44" t="s">
        <v>11</v>
      </c>
      <c r="F5" s="43"/>
      <c r="G5" s="43"/>
      <c r="H5" s="44" t="s">
        <v>13</v>
      </c>
      <c r="I5" s="44"/>
    </row>
    <row r="6" spans="1:9" ht="21.95" customHeight="1" x14ac:dyDescent="0.25">
      <c r="A6" s="5">
        <f t="shared" ref="A6:A37" si="0">ROW()-5</f>
        <v>1</v>
      </c>
      <c r="B6" s="6" t="s">
        <v>39</v>
      </c>
      <c r="C6" s="7" t="s">
        <v>40</v>
      </c>
      <c r="D6" s="8" t="s">
        <v>41</v>
      </c>
      <c r="E6" s="9" t="s">
        <v>42</v>
      </c>
      <c r="F6" s="10" t="s">
        <v>11</v>
      </c>
      <c r="G6" s="11"/>
      <c r="H6" s="12"/>
      <c r="I6" s="13" t="s">
        <v>13</v>
      </c>
    </row>
    <row r="7" spans="1:9" ht="21.95" customHeight="1" x14ac:dyDescent="0.25">
      <c r="A7" s="14">
        <f t="shared" si="0"/>
        <v>2</v>
      </c>
      <c r="B7" s="15" t="s">
        <v>43</v>
      </c>
      <c r="C7" s="16" t="s">
        <v>44</v>
      </c>
      <c r="D7" s="17" t="s">
        <v>45</v>
      </c>
      <c r="E7" s="18" t="s">
        <v>46</v>
      </c>
      <c r="F7" s="19" t="s">
        <v>11</v>
      </c>
      <c r="G7" s="20"/>
      <c r="H7" s="21"/>
      <c r="I7" s="22" t="s">
        <v>13</v>
      </c>
    </row>
    <row r="8" spans="1:9" ht="21.95" customHeight="1" x14ac:dyDescent="0.25">
      <c r="A8" s="5">
        <f t="shared" si="0"/>
        <v>3</v>
      </c>
      <c r="B8" s="6" t="s">
        <v>47</v>
      </c>
      <c r="C8" s="7" t="s">
        <v>48</v>
      </c>
      <c r="D8" s="8" t="s">
        <v>49</v>
      </c>
      <c r="E8" s="9" t="s">
        <v>50</v>
      </c>
      <c r="F8" s="10" t="s">
        <v>11</v>
      </c>
      <c r="G8" s="11"/>
      <c r="H8" s="12"/>
      <c r="I8" s="13" t="s">
        <v>13</v>
      </c>
    </row>
    <row r="9" spans="1:9" ht="21.95" customHeight="1" x14ac:dyDescent="0.25">
      <c r="A9" s="14">
        <f t="shared" si="0"/>
        <v>4</v>
      </c>
      <c r="B9" s="15" t="s">
        <v>51</v>
      </c>
      <c r="C9" s="16" t="s">
        <v>52</v>
      </c>
      <c r="D9" s="17" t="s">
        <v>53</v>
      </c>
      <c r="E9" s="18"/>
      <c r="F9" s="19" t="s">
        <v>11</v>
      </c>
      <c r="G9" s="20"/>
      <c r="H9" s="21" t="s">
        <v>54</v>
      </c>
      <c r="I9" s="22" t="s">
        <v>13</v>
      </c>
    </row>
    <row r="10" spans="1:9" ht="21.95" customHeight="1" x14ac:dyDescent="0.25">
      <c r="A10" s="5">
        <f t="shared" si="0"/>
        <v>5</v>
      </c>
      <c r="B10" s="6" t="s">
        <v>55</v>
      </c>
      <c r="C10" s="7" t="s">
        <v>56</v>
      </c>
      <c r="D10" s="8" t="s">
        <v>57</v>
      </c>
      <c r="E10" s="9" t="s">
        <v>50</v>
      </c>
      <c r="F10" s="10" t="s">
        <v>11</v>
      </c>
      <c r="G10" s="11"/>
      <c r="H10" s="12"/>
      <c r="I10" s="13" t="s">
        <v>13</v>
      </c>
    </row>
    <row r="11" spans="1:9" ht="21.95" customHeight="1" x14ac:dyDescent="0.25">
      <c r="A11" s="14">
        <f t="shared" si="0"/>
        <v>6</v>
      </c>
      <c r="B11" s="15" t="s">
        <v>58</v>
      </c>
      <c r="C11" s="16" t="s">
        <v>59</v>
      </c>
      <c r="D11" s="17" t="s">
        <v>60</v>
      </c>
      <c r="E11" s="18"/>
      <c r="F11" s="19" t="s">
        <v>11</v>
      </c>
      <c r="G11" s="20"/>
      <c r="H11" s="21"/>
      <c r="I11" s="22" t="s">
        <v>13</v>
      </c>
    </row>
    <row r="12" spans="1:9" ht="21.95" customHeight="1" x14ac:dyDescent="0.25">
      <c r="A12" s="5">
        <f t="shared" si="0"/>
        <v>7</v>
      </c>
      <c r="B12" s="6" t="s">
        <v>58</v>
      </c>
      <c r="C12" s="7" t="s">
        <v>61</v>
      </c>
      <c r="D12" s="8" t="s">
        <v>62</v>
      </c>
      <c r="E12" s="9" t="s">
        <v>50</v>
      </c>
      <c r="F12" s="10" t="s">
        <v>11</v>
      </c>
      <c r="G12" s="11"/>
      <c r="H12" s="12"/>
      <c r="I12" s="13" t="s">
        <v>13</v>
      </c>
    </row>
    <row r="13" spans="1:9" ht="21.95" customHeight="1" x14ac:dyDescent="0.25">
      <c r="A13" s="14">
        <f t="shared" si="0"/>
        <v>8</v>
      </c>
      <c r="B13" s="15" t="s">
        <v>63</v>
      </c>
      <c r="C13" s="16" t="s">
        <v>56</v>
      </c>
      <c r="D13" s="17" t="s">
        <v>64</v>
      </c>
      <c r="E13" s="18" t="s">
        <v>65</v>
      </c>
      <c r="F13" s="19" t="s">
        <v>11</v>
      </c>
      <c r="G13" s="20"/>
      <c r="H13" s="21"/>
      <c r="I13" s="22" t="s">
        <v>13</v>
      </c>
    </row>
    <row r="14" spans="1:9" ht="21.95" customHeight="1" x14ac:dyDescent="0.25">
      <c r="A14" s="5">
        <f t="shared" si="0"/>
        <v>9</v>
      </c>
      <c r="B14" s="6" t="s">
        <v>66</v>
      </c>
      <c r="C14" s="7" t="s">
        <v>40</v>
      </c>
      <c r="D14" s="8" t="s">
        <v>67</v>
      </c>
      <c r="E14" s="9" t="s">
        <v>68</v>
      </c>
      <c r="F14" s="10" t="s">
        <v>11</v>
      </c>
      <c r="G14" s="11"/>
      <c r="H14" s="12"/>
      <c r="I14" s="13" t="s">
        <v>13</v>
      </c>
    </row>
    <row r="15" spans="1:9" ht="21.95" customHeight="1" x14ac:dyDescent="0.25">
      <c r="A15" s="14">
        <f t="shared" si="0"/>
        <v>10</v>
      </c>
      <c r="B15" s="15" t="s">
        <v>69</v>
      </c>
      <c r="C15" s="16" t="s">
        <v>70</v>
      </c>
      <c r="D15" s="17" t="s">
        <v>71</v>
      </c>
      <c r="E15" s="18" t="s">
        <v>68</v>
      </c>
      <c r="F15" s="19" t="s">
        <v>11</v>
      </c>
      <c r="G15" s="20"/>
      <c r="H15" s="21"/>
      <c r="I15" s="22" t="s">
        <v>13</v>
      </c>
    </row>
    <row r="16" spans="1:9" ht="21.95" customHeight="1" x14ac:dyDescent="0.25">
      <c r="A16" s="5">
        <f t="shared" si="0"/>
        <v>11</v>
      </c>
      <c r="B16" s="6" t="s">
        <v>72</v>
      </c>
      <c r="C16" s="7" t="s">
        <v>40</v>
      </c>
      <c r="D16" s="8" t="s">
        <v>73</v>
      </c>
      <c r="E16" s="9" t="s">
        <v>74</v>
      </c>
      <c r="F16" s="10" t="s">
        <v>11</v>
      </c>
      <c r="G16" s="11"/>
      <c r="H16" s="12"/>
      <c r="I16" s="13" t="s">
        <v>13</v>
      </c>
    </row>
    <row r="17" spans="1:9" ht="21.95" customHeight="1" x14ac:dyDescent="0.25">
      <c r="A17" s="14">
        <f t="shared" si="0"/>
        <v>12</v>
      </c>
      <c r="B17" s="15" t="s">
        <v>75</v>
      </c>
      <c r="C17" s="16" t="s">
        <v>76</v>
      </c>
      <c r="D17" s="17" t="s">
        <v>77</v>
      </c>
      <c r="E17" s="18" t="s">
        <v>74</v>
      </c>
      <c r="F17" s="19" t="s">
        <v>11</v>
      </c>
      <c r="G17" s="20"/>
      <c r="H17" s="21"/>
      <c r="I17" s="22" t="s">
        <v>13</v>
      </c>
    </row>
    <row r="18" spans="1:9" ht="21.95" customHeight="1" x14ac:dyDescent="0.25">
      <c r="A18" s="5">
        <f t="shared" si="0"/>
        <v>13</v>
      </c>
      <c r="B18" s="6" t="s">
        <v>78</v>
      </c>
      <c r="C18" s="7" t="s">
        <v>79</v>
      </c>
      <c r="D18" s="8" t="s">
        <v>80</v>
      </c>
      <c r="E18" s="9" t="s">
        <v>81</v>
      </c>
      <c r="F18" s="10" t="s">
        <v>11</v>
      </c>
      <c r="G18" s="11"/>
      <c r="H18" s="12"/>
      <c r="I18" s="13" t="s">
        <v>13</v>
      </c>
    </row>
    <row r="19" spans="1:9" ht="21.95" customHeight="1" x14ac:dyDescent="0.25">
      <c r="A19" s="14">
        <f t="shared" si="0"/>
        <v>14</v>
      </c>
      <c r="B19" s="15" t="s">
        <v>82</v>
      </c>
      <c r="C19" s="16" t="s">
        <v>40</v>
      </c>
      <c r="D19" s="17" t="s">
        <v>83</v>
      </c>
      <c r="E19" s="18" t="s">
        <v>81</v>
      </c>
      <c r="F19" s="19" t="s">
        <v>11</v>
      </c>
      <c r="G19" s="20"/>
      <c r="H19" s="21"/>
      <c r="I19" s="22" t="s">
        <v>13</v>
      </c>
    </row>
    <row r="20" spans="1:9" ht="21.95" customHeight="1" x14ac:dyDescent="0.25">
      <c r="A20" s="5">
        <f t="shared" si="0"/>
        <v>15</v>
      </c>
      <c r="B20" s="6" t="s">
        <v>84</v>
      </c>
      <c r="C20" s="7" t="s">
        <v>85</v>
      </c>
      <c r="D20" s="8" t="s">
        <v>86</v>
      </c>
      <c r="E20" s="9" t="s">
        <v>81</v>
      </c>
      <c r="F20" s="10" t="s">
        <v>11</v>
      </c>
      <c r="G20" s="11"/>
      <c r="H20" s="12"/>
      <c r="I20" s="13" t="s">
        <v>13</v>
      </c>
    </row>
    <row r="21" spans="1:9" ht="21.95" customHeight="1" x14ac:dyDescent="0.25">
      <c r="A21" s="14">
        <f t="shared" si="0"/>
        <v>16</v>
      </c>
      <c r="B21" s="15" t="s">
        <v>87</v>
      </c>
      <c r="C21" s="16" t="s">
        <v>88</v>
      </c>
      <c r="D21" s="17" t="s">
        <v>89</v>
      </c>
      <c r="E21" s="18" t="s">
        <v>81</v>
      </c>
      <c r="F21" s="19" t="s">
        <v>11</v>
      </c>
      <c r="G21" s="20"/>
      <c r="H21" s="21"/>
      <c r="I21" s="22" t="s">
        <v>13</v>
      </c>
    </row>
    <row r="22" spans="1:9" ht="21.95" customHeight="1" x14ac:dyDescent="0.25">
      <c r="A22" s="5">
        <f t="shared" si="0"/>
        <v>17</v>
      </c>
      <c r="B22" s="6" t="s">
        <v>90</v>
      </c>
      <c r="C22" s="7" t="s">
        <v>85</v>
      </c>
      <c r="D22" s="8" t="s">
        <v>91</v>
      </c>
      <c r="E22" s="9" t="s">
        <v>81</v>
      </c>
      <c r="F22" s="10" t="s">
        <v>11</v>
      </c>
      <c r="G22" s="11"/>
      <c r="H22" s="12"/>
      <c r="I22" s="13" t="s">
        <v>13</v>
      </c>
    </row>
    <row r="23" spans="1:9" ht="21.95" customHeight="1" x14ac:dyDescent="0.25">
      <c r="A23" s="14">
        <f t="shared" si="0"/>
        <v>18</v>
      </c>
      <c r="B23" s="15" t="s">
        <v>92</v>
      </c>
      <c r="C23" s="16" t="s">
        <v>76</v>
      </c>
      <c r="D23" s="17" t="s">
        <v>93</v>
      </c>
      <c r="E23" s="18" t="s">
        <v>81</v>
      </c>
      <c r="F23" s="19" t="s">
        <v>11</v>
      </c>
      <c r="G23" s="20"/>
      <c r="H23" s="21"/>
      <c r="I23" s="22" t="s">
        <v>13</v>
      </c>
    </row>
    <row r="24" spans="1:9" ht="21.95" customHeight="1" x14ac:dyDescent="0.25">
      <c r="A24" s="5">
        <f t="shared" si="0"/>
        <v>19</v>
      </c>
      <c r="B24" s="6" t="s">
        <v>94</v>
      </c>
      <c r="C24" s="7" t="s">
        <v>95</v>
      </c>
      <c r="D24" s="8" t="s">
        <v>96</v>
      </c>
      <c r="E24" s="9" t="s">
        <v>81</v>
      </c>
      <c r="F24" s="10" t="s">
        <v>11</v>
      </c>
      <c r="G24" s="11"/>
      <c r="H24" s="12"/>
      <c r="I24" s="13" t="s">
        <v>13</v>
      </c>
    </row>
    <row r="25" spans="1:9" ht="21.95" customHeight="1" x14ac:dyDescent="0.25">
      <c r="A25" s="14">
        <f t="shared" si="0"/>
        <v>20</v>
      </c>
      <c r="B25" s="15" t="s">
        <v>97</v>
      </c>
      <c r="C25" s="16" t="s">
        <v>40</v>
      </c>
      <c r="D25" s="17" t="s">
        <v>98</v>
      </c>
      <c r="E25" s="18" t="s">
        <v>99</v>
      </c>
      <c r="F25" s="19" t="s">
        <v>11</v>
      </c>
      <c r="G25" s="20"/>
      <c r="H25" s="21"/>
      <c r="I25" s="22" t="s">
        <v>13</v>
      </c>
    </row>
    <row r="26" spans="1:9" ht="21.95" customHeight="1" x14ac:dyDescent="0.25">
      <c r="A26" s="5">
        <f t="shared" si="0"/>
        <v>21</v>
      </c>
      <c r="B26" s="6" t="s">
        <v>100</v>
      </c>
      <c r="C26" s="7" t="s">
        <v>76</v>
      </c>
      <c r="D26" s="8" t="s">
        <v>101</v>
      </c>
      <c r="E26" s="9" t="s">
        <v>102</v>
      </c>
      <c r="F26" s="10" t="s">
        <v>11</v>
      </c>
      <c r="G26" s="11"/>
      <c r="H26" s="12"/>
      <c r="I26" s="13" t="s">
        <v>13</v>
      </c>
    </row>
    <row r="27" spans="1:9" ht="21.95" customHeight="1" x14ac:dyDescent="0.25">
      <c r="A27" s="14">
        <f t="shared" si="0"/>
        <v>22</v>
      </c>
      <c r="B27" s="15" t="s">
        <v>103</v>
      </c>
      <c r="C27" s="16" t="s">
        <v>40</v>
      </c>
      <c r="D27" s="17" t="s">
        <v>104</v>
      </c>
      <c r="E27" s="18" t="s">
        <v>105</v>
      </c>
      <c r="F27" s="19" t="s">
        <v>11</v>
      </c>
      <c r="G27" s="20"/>
      <c r="H27" s="21"/>
      <c r="I27" s="22" t="s">
        <v>13</v>
      </c>
    </row>
    <row r="28" spans="1:9" ht="21.95" customHeight="1" x14ac:dyDescent="0.25">
      <c r="A28" s="5">
        <f t="shared" si="0"/>
        <v>23</v>
      </c>
      <c r="B28" s="6" t="s">
        <v>106</v>
      </c>
      <c r="C28" s="7" t="s">
        <v>107</v>
      </c>
      <c r="D28" s="8" t="s">
        <v>108</v>
      </c>
      <c r="E28" s="9" t="s">
        <v>109</v>
      </c>
      <c r="F28" s="10" t="s">
        <v>110</v>
      </c>
      <c r="G28" s="11"/>
      <c r="H28" s="12"/>
      <c r="I28" s="13" t="s">
        <v>13</v>
      </c>
    </row>
    <row r="29" spans="1:9" ht="21.95" customHeight="1" x14ac:dyDescent="0.25">
      <c r="A29" s="14">
        <f t="shared" si="0"/>
        <v>24</v>
      </c>
      <c r="B29" s="15" t="s">
        <v>111</v>
      </c>
      <c r="C29" s="16" t="s">
        <v>112</v>
      </c>
      <c r="D29" s="17" t="s">
        <v>113</v>
      </c>
      <c r="E29" s="18" t="s">
        <v>114</v>
      </c>
      <c r="F29" s="19" t="s">
        <v>110</v>
      </c>
      <c r="G29" s="20"/>
      <c r="H29" s="21"/>
      <c r="I29" s="22" t="s">
        <v>13</v>
      </c>
    </row>
    <row r="30" spans="1:9" ht="21.95" customHeight="1" x14ac:dyDescent="0.25">
      <c r="A30" s="5">
        <f t="shared" si="0"/>
        <v>25</v>
      </c>
      <c r="B30" s="6" t="s">
        <v>115</v>
      </c>
      <c r="C30" s="7" t="s">
        <v>56</v>
      </c>
      <c r="D30" s="8" t="s">
        <v>116</v>
      </c>
      <c r="E30" s="9" t="s">
        <v>117</v>
      </c>
      <c r="F30" s="10" t="s">
        <v>110</v>
      </c>
      <c r="G30" s="11"/>
      <c r="H30" s="12"/>
      <c r="I30" s="13" t="s">
        <v>13</v>
      </c>
    </row>
    <row r="31" spans="1:9" ht="21.95" customHeight="1" x14ac:dyDescent="0.25">
      <c r="A31" s="14">
        <f t="shared" si="0"/>
        <v>26</v>
      </c>
      <c r="B31" s="15" t="s">
        <v>118</v>
      </c>
      <c r="C31" s="16" t="s">
        <v>70</v>
      </c>
      <c r="D31" s="17" t="s">
        <v>119</v>
      </c>
      <c r="E31" s="18" t="s">
        <v>117</v>
      </c>
      <c r="F31" s="19" t="s">
        <v>110</v>
      </c>
      <c r="G31" s="20"/>
      <c r="H31" s="21"/>
      <c r="I31" s="22" t="s">
        <v>13</v>
      </c>
    </row>
    <row r="32" spans="1:9" ht="21.95" customHeight="1" x14ac:dyDescent="0.25">
      <c r="A32" s="5">
        <f t="shared" si="0"/>
        <v>27</v>
      </c>
      <c r="B32" s="6" t="s">
        <v>120</v>
      </c>
      <c r="C32" s="7" t="s">
        <v>40</v>
      </c>
      <c r="D32" s="8" t="s">
        <v>121</v>
      </c>
      <c r="E32" s="9" t="s">
        <v>122</v>
      </c>
      <c r="F32" s="10" t="s">
        <v>110</v>
      </c>
      <c r="G32" s="11"/>
      <c r="H32" s="12"/>
      <c r="I32" s="13" t="s">
        <v>13</v>
      </c>
    </row>
    <row r="33" spans="1:9" ht="21.95" customHeight="1" x14ac:dyDescent="0.25">
      <c r="A33" s="14">
        <f t="shared" si="0"/>
        <v>28</v>
      </c>
      <c r="B33" s="15" t="s">
        <v>123</v>
      </c>
      <c r="C33" s="16" t="s">
        <v>124</v>
      </c>
      <c r="D33" s="17" t="s">
        <v>125</v>
      </c>
      <c r="E33" s="18" t="s">
        <v>126</v>
      </c>
      <c r="F33" s="19" t="s">
        <v>110</v>
      </c>
      <c r="G33" s="20"/>
      <c r="H33" s="21"/>
      <c r="I33" s="22" t="s">
        <v>13</v>
      </c>
    </row>
    <row r="34" spans="1:9" ht="21.95" customHeight="1" x14ac:dyDescent="0.25">
      <c r="A34" s="5">
        <f t="shared" si="0"/>
        <v>29</v>
      </c>
      <c r="B34" s="6" t="s">
        <v>127</v>
      </c>
      <c r="C34" s="7" t="s">
        <v>124</v>
      </c>
      <c r="D34" s="8" t="s">
        <v>128</v>
      </c>
      <c r="E34" s="9" t="s">
        <v>126</v>
      </c>
      <c r="F34" s="10" t="s">
        <v>110</v>
      </c>
      <c r="G34" s="11"/>
      <c r="H34" s="12"/>
      <c r="I34" s="13" t="s">
        <v>13</v>
      </c>
    </row>
    <row r="35" spans="1:9" ht="21.95" customHeight="1" x14ac:dyDescent="0.25">
      <c r="A35" s="14">
        <f t="shared" si="0"/>
        <v>30</v>
      </c>
      <c r="B35" s="15" t="s">
        <v>129</v>
      </c>
      <c r="C35" s="16" t="s">
        <v>107</v>
      </c>
      <c r="D35" s="17" t="s">
        <v>130</v>
      </c>
      <c r="E35" s="18" t="s">
        <v>126</v>
      </c>
      <c r="F35" s="19" t="s">
        <v>110</v>
      </c>
      <c r="G35" s="20"/>
      <c r="H35" s="21"/>
      <c r="I35" s="22" t="s">
        <v>13</v>
      </c>
    </row>
    <row r="36" spans="1:9" ht="21.95" customHeight="1" x14ac:dyDescent="0.25">
      <c r="A36" s="5">
        <f t="shared" si="0"/>
        <v>31</v>
      </c>
      <c r="B36" s="6" t="s">
        <v>131</v>
      </c>
      <c r="C36" s="7" t="s">
        <v>76</v>
      </c>
      <c r="D36" s="8" t="s">
        <v>132</v>
      </c>
      <c r="E36" s="9" t="s">
        <v>133</v>
      </c>
      <c r="F36" s="10" t="s">
        <v>110</v>
      </c>
      <c r="G36" s="11"/>
      <c r="H36" s="12"/>
      <c r="I36" s="13" t="s">
        <v>13</v>
      </c>
    </row>
    <row r="37" spans="1:9" ht="21.95" customHeight="1" x14ac:dyDescent="0.25">
      <c r="A37" s="14">
        <f t="shared" si="0"/>
        <v>32</v>
      </c>
      <c r="B37" s="15" t="s">
        <v>134</v>
      </c>
      <c r="C37" s="16" t="s">
        <v>56</v>
      </c>
      <c r="D37" s="17" t="s">
        <v>135</v>
      </c>
      <c r="E37" s="18" t="s">
        <v>136</v>
      </c>
      <c r="F37" s="19" t="s">
        <v>110</v>
      </c>
      <c r="G37" s="20"/>
      <c r="H37" s="21"/>
      <c r="I37" s="22" t="s">
        <v>13</v>
      </c>
    </row>
    <row r="38" spans="1:9" ht="21.95" customHeight="1" x14ac:dyDescent="0.25">
      <c r="A38" s="5">
        <f t="shared" ref="A38:A69" si="1">ROW()-5</f>
        <v>33</v>
      </c>
      <c r="B38" s="6" t="s">
        <v>137</v>
      </c>
      <c r="C38" s="7" t="s">
        <v>138</v>
      </c>
      <c r="D38" s="8" t="s">
        <v>139</v>
      </c>
      <c r="E38" s="9" t="s">
        <v>140</v>
      </c>
      <c r="F38" s="10" t="s">
        <v>110</v>
      </c>
      <c r="G38" s="11"/>
      <c r="H38" s="12"/>
      <c r="I38" s="13" t="s">
        <v>13</v>
      </c>
    </row>
    <row r="39" spans="1:9" ht="21.95" customHeight="1" x14ac:dyDescent="0.25">
      <c r="A39" s="14">
        <f t="shared" si="1"/>
        <v>34</v>
      </c>
      <c r="B39" s="15" t="s">
        <v>137</v>
      </c>
      <c r="C39" s="16" t="s">
        <v>141</v>
      </c>
      <c r="D39" s="17" t="s">
        <v>139</v>
      </c>
      <c r="E39" s="18" t="s">
        <v>140</v>
      </c>
      <c r="F39" s="19" t="s">
        <v>110</v>
      </c>
      <c r="G39" s="20"/>
      <c r="H39" s="21"/>
      <c r="I39" s="22" t="s">
        <v>13</v>
      </c>
    </row>
    <row r="40" spans="1:9" ht="21.95" customHeight="1" x14ac:dyDescent="0.25">
      <c r="A40" s="5">
        <f t="shared" si="1"/>
        <v>35</v>
      </c>
      <c r="B40" s="6" t="s">
        <v>142</v>
      </c>
      <c r="C40" s="7" t="s">
        <v>85</v>
      </c>
      <c r="D40" s="8" t="s">
        <v>143</v>
      </c>
      <c r="E40" s="9" t="s">
        <v>144</v>
      </c>
      <c r="F40" s="10" t="s">
        <v>110</v>
      </c>
      <c r="G40" s="11"/>
      <c r="H40" s="12"/>
      <c r="I40" s="13" t="s">
        <v>13</v>
      </c>
    </row>
    <row r="41" spans="1:9" ht="21.95" customHeight="1" x14ac:dyDescent="0.25">
      <c r="A41" s="14">
        <f t="shared" si="1"/>
        <v>36</v>
      </c>
      <c r="B41" s="15" t="s">
        <v>145</v>
      </c>
      <c r="C41" s="16" t="s">
        <v>56</v>
      </c>
      <c r="D41" s="17" t="s">
        <v>146</v>
      </c>
      <c r="E41" s="18" t="s">
        <v>147</v>
      </c>
      <c r="F41" s="19" t="s">
        <v>110</v>
      </c>
      <c r="G41" s="20"/>
      <c r="H41" s="21"/>
      <c r="I41" s="22" t="s">
        <v>13</v>
      </c>
    </row>
    <row r="42" spans="1:9" ht="21.95" customHeight="1" x14ac:dyDescent="0.25">
      <c r="A42" s="5">
        <f t="shared" si="1"/>
        <v>37</v>
      </c>
      <c r="B42" s="6" t="s">
        <v>148</v>
      </c>
      <c r="C42" s="7" t="s">
        <v>149</v>
      </c>
      <c r="D42" s="8" t="s">
        <v>150</v>
      </c>
      <c r="E42" s="9" t="s">
        <v>151</v>
      </c>
      <c r="F42" s="10" t="s">
        <v>110</v>
      </c>
      <c r="G42" s="11"/>
      <c r="H42" s="12"/>
      <c r="I42" s="13" t="s">
        <v>13</v>
      </c>
    </row>
    <row r="43" spans="1:9" ht="21.95" customHeight="1" x14ac:dyDescent="0.25">
      <c r="A43" s="14">
        <f t="shared" si="1"/>
        <v>38</v>
      </c>
      <c r="B43" s="15" t="s">
        <v>152</v>
      </c>
      <c r="C43" s="16" t="s">
        <v>149</v>
      </c>
      <c r="D43" s="17" t="s">
        <v>153</v>
      </c>
      <c r="E43" s="18" t="s">
        <v>151</v>
      </c>
      <c r="F43" s="19" t="s">
        <v>110</v>
      </c>
      <c r="G43" s="20"/>
      <c r="H43" s="21"/>
      <c r="I43" s="22" t="s">
        <v>13</v>
      </c>
    </row>
    <row r="44" spans="1:9" ht="21.95" customHeight="1" x14ac:dyDescent="0.25">
      <c r="A44" s="5">
        <f t="shared" si="1"/>
        <v>39</v>
      </c>
      <c r="B44" s="6" t="s">
        <v>154</v>
      </c>
      <c r="C44" s="7" t="s">
        <v>112</v>
      </c>
      <c r="D44" s="8" t="s">
        <v>155</v>
      </c>
      <c r="E44" s="9" t="s">
        <v>156</v>
      </c>
      <c r="F44" s="10" t="s">
        <v>110</v>
      </c>
      <c r="G44" s="11"/>
      <c r="H44" s="12"/>
      <c r="I44" s="13" t="s">
        <v>13</v>
      </c>
    </row>
    <row r="45" spans="1:9" ht="21.95" customHeight="1" x14ac:dyDescent="0.25">
      <c r="A45" s="14">
        <f t="shared" si="1"/>
        <v>40</v>
      </c>
      <c r="B45" s="15" t="s">
        <v>157</v>
      </c>
      <c r="C45" s="16" t="s">
        <v>76</v>
      </c>
      <c r="D45" s="17" t="s">
        <v>158</v>
      </c>
      <c r="E45" s="18" t="s">
        <v>156</v>
      </c>
      <c r="F45" s="19" t="s">
        <v>110</v>
      </c>
      <c r="G45" s="20"/>
      <c r="H45" s="21"/>
      <c r="I45" s="22" t="s">
        <v>13</v>
      </c>
    </row>
    <row r="46" spans="1:9" ht="21.95" customHeight="1" x14ac:dyDescent="0.25">
      <c r="A46" s="5">
        <f t="shared" si="1"/>
        <v>41</v>
      </c>
      <c r="B46" s="6" t="s">
        <v>159</v>
      </c>
      <c r="C46" s="7" t="s">
        <v>124</v>
      </c>
      <c r="D46" s="8" t="s">
        <v>160</v>
      </c>
      <c r="E46" s="9" t="s">
        <v>156</v>
      </c>
      <c r="F46" s="10" t="s">
        <v>110</v>
      </c>
      <c r="G46" s="11"/>
      <c r="H46" s="12"/>
      <c r="I46" s="13" t="s">
        <v>13</v>
      </c>
    </row>
    <row r="47" spans="1:9" ht="21.95" customHeight="1" x14ac:dyDescent="0.25">
      <c r="A47" s="14">
        <f t="shared" si="1"/>
        <v>42</v>
      </c>
      <c r="B47" s="15" t="s">
        <v>161</v>
      </c>
      <c r="C47" s="16" t="s">
        <v>76</v>
      </c>
      <c r="D47" s="17" t="s">
        <v>162</v>
      </c>
      <c r="E47" s="18" t="s">
        <v>156</v>
      </c>
      <c r="F47" s="19" t="s">
        <v>110</v>
      </c>
      <c r="G47" s="20"/>
      <c r="H47" s="21"/>
      <c r="I47" s="22" t="s">
        <v>13</v>
      </c>
    </row>
    <row r="48" spans="1:9" ht="21.95" customHeight="1" x14ac:dyDescent="0.25">
      <c r="A48" s="5">
        <f t="shared" si="1"/>
        <v>43</v>
      </c>
      <c r="B48" s="6" t="s">
        <v>163</v>
      </c>
      <c r="C48" s="7" t="s">
        <v>112</v>
      </c>
      <c r="D48" s="8" t="s">
        <v>164</v>
      </c>
      <c r="E48" s="9" t="s">
        <v>156</v>
      </c>
      <c r="F48" s="10" t="s">
        <v>110</v>
      </c>
      <c r="G48" s="11"/>
      <c r="H48" s="12"/>
      <c r="I48" s="13" t="s">
        <v>13</v>
      </c>
    </row>
    <row r="49" spans="1:9" ht="21.95" customHeight="1" x14ac:dyDescent="0.25">
      <c r="A49" s="14">
        <f t="shared" si="1"/>
        <v>44</v>
      </c>
      <c r="B49" s="15" t="s">
        <v>165</v>
      </c>
      <c r="C49" s="16" t="s">
        <v>76</v>
      </c>
      <c r="D49" s="17" t="s">
        <v>166</v>
      </c>
      <c r="E49" s="18" t="s">
        <v>156</v>
      </c>
      <c r="F49" s="19" t="s">
        <v>110</v>
      </c>
      <c r="G49" s="20"/>
      <c r="H49" s="21"/>
      <c r="I49" s="22" t="s">
        <v>13</v>
      </c>
    </row>
    <row r="50" spans="1:9" ht="21.95" customHeight="1" x14ac:dyDescent="0.25">
      <c r="A50" s="5">
        <f t="shared" si="1"/>
        <v>45</v>
      </c>
      <c r="B50" s="6" t="s">
        <v>167</v>
      </c>
      <c r="C50" s="7" t="s">
        <v>112</v>
      </c>
      <c r="D50" s="8" t="s">
        <v>168</v>
      </c>
      <c r="E50" s="9" t="s">
        <v>169</v>
      </c>
      <c r="F50" s="10" t="s">
        <v>110</v>
      </c>
      <c r="G50" s="11"/>
      <c r="H50" s="12"/>
      <c r="I50" s="13" t="s">
        <v>13</v>
      </c>
    </row>
    <row r="51" spans="1:9" ht="21.95" customHeight="1" x14ac:dyDescent="0.25">
      <c r="A51" s="14">
        <f t="shared" si="1"/>
        <v>46</v>
      </c>
      <c r="B51" s="15" t="s">
        <v>170</v>
      </c>
      <c r="C51" s="16" t="s">
        <v>171</v>
      </c>
      <c r="D51" s="17" t="s">
        <v>172</v>
      </c>
      <c r="E51" s="18" t="s">
        <v>173</v>
      </c>
      <c r="F51" s="19" t="s">
        <v>110</v>
      </c>
      <c r="G51" s="20"/>
      <c r="H51" s="21"/>
      <c r="I51" s="22" t="s">
        <v>13</v>
      </c>
    </row>
    <row r="52" spans="1:9" ht="21.95" customHeight="1" x14ac:dyDescent="0.25">
      <c r="A52" s="5">
        <f t="shared" si="1"/>
        <v>47</v>
      </c>
      <c r="B52" s="6" t="s">
        <v>174</v>
      </c>
      <c r="C52" s="7" t="s">
        <v>149</v>
      </c>
      <c r="D52" s="8" t="s">
        <v>175</v>
      </c>
      <c r="E52" s="9" t="s">
        <v>173</v>
      </c>
      <c r="F52" s="10" t="s">
        <v>110</v>
      </c>
      <c r="G52" s="11"/>
      <c r="H52" s="12"/>
      <c r="I52" s="13" t="s">
        <v>13</v>
      </c>
    </row>
    <row r="53" spans="1:9" ht="21.95" customHeight="1" x14ac:dyDescent="0.25">
      <c r="A53" s="14">
        <f t="shared" si="1"/>
        <v>48</v>
      </c>
      <c r="B53" s="15" t="s">
        <v>176</v>
      </c>
      <c r="C53" s="16" t="s">
        <v>76</v>
      </c>
      <c r="D53" s="17" t="s">
        <v>177</v>
      </c>
      <c r="E53" s="18" t="s">
        <v>178</v>
      </c>
      <c r="F53" s="19" t="s">
        <v>110</v>
      </c>
      <c r="G53" s="20"/>
      <c r="H53" s="21"/>
      <c r="I53" s="22" t="s">
        <v>13</v>
      </c>
    </row>
    <row r="54" spans="1:9" ht="21.95" customHeight="1" x14ac:dyDescent="0.25">
      <c r="A54" s="5">
        <f t="shared" si="1"/>
        <v>49</v>
      </c>
      <c r="B54" s="6" t="s">
        <v>179</v>
      </c>
      <c r="C54" s="7" t="s">
        <v>180</v>
      </c>
      <c r="D54" s="8" t="s">
        <v>181</v>
      </c>
      <c r="E54" s="9" t="s">
        <v>178</v>
      </c>
      <c r="F54" s="10" t="s">
        <v>110</v>
      </c>
      <c r="G54" s="11"/>
      <c r="H54" s="12"/>
      <c r="I54" s="13" t="s">
        <v>13</v>
      </c>
    </row>
    <row r="55" spans="1:9" ht="21.95" customHeight="1" x14ac:dyDescent="0.25">
      <c r="A55" s="14">
        <f t="shared" si="1"/>
        <v>50</v>
      </c>
      <c r="B55" s="15" t="s">
        <v>182</v>
      </c>
      <c r="C55" s="16" t="s">
        <v>180</v>
      </c>
      <c r="D55" s="17" t="s">
        <v>183</v>
      </c>
      <c r="E55" s="18" t="s">
        <v>184</v>
      </c>
      <c r="F55" s="19" t="s">
        <v>110</v>
      </c>
      <c r="G55" s="20"/>
      <c r="H55" s="21"/>
      <c r="I55" s="22" t="s">
        <v>13</v>
      </c>
    </row>
    <row r="56" spans="1:9" ht="21.95" customHeight="1" x14ac:dyDescent="0.25">
      <c r="A56" s="5">
        <f t="shared" si="1"/>
        <v>51</v>
      </c>
      <c r="B56" s="6" t="s">
        <v>185</v>
      </c>
      <c r="C56" s="7" t="s">
        <v>141</v>
      </c>
      <c r="D56" s="8" t="s">
        <v>186</v>
      </c>
      <c r="E56" s="9" t="s">
        <v>187</v>
      </c>
      <c r="F56" s="10" t="s">
        <v>110</v>
      </c>
      <c r="G56" s="11"/>
      <c r="H56" s="12"/>
      <c r="I56" s="13" t="s">
        <v>13</v>
      </c>
    </row>
    <row r="57" spans="1:9" ht="21.95" customHeight="1" x14ac:dyDescent="0.25">
      <c r="A57" s="14">
        <f t="shared" si="1"/>
        <v>52</v>
      </c>
      <c r="B57" s="15" t="s">
        <v>188</v>
      </c>
      <c r="C57" s="16" t="s">
        <v>124</v>
      </c>
      <c r="D57" s="17" t="s">
        <v>189</v>
      </c>
      <c r="E57" s="18" t="s">
        <v>190</v>
      </c>
      <c r="F57" s="19" t="s">
        <v>110</v>
      </c>
      <c r="G57" s="20"/>
      <c r="H57" s="21"/>
      <c r="I57" s="22" t="s">
        <v>13</v>
      </c>
    </row>
    <row r="58" spans="1:9" ht="21.95" customHeight="1" x14ac:dyDescent="0.25">
      <c r="A58" s="5">
        <f t="shared" si="1"/>
        <v>53</v>
      </c>
      <c r="B58" s="6" t="s">
        <v>191</v>
      </c>
      <c r="C58" s="7" t="s">
        <v>124</v>
      </c>
      <c r="D58" s="8" t="s">
        <v>192</v>
      </c>
      <c r="E58" s="9" t="s">
        <v>193</v>
      </c>
      <c r="F58" s="10" t="s">
        <v>110</v>
      </c>
      <c r="G58" s="11"/>
      <c r="H58" s="12"/>
      <c r="I58" s="13" t="s">
        <v>13</v>
      </c>
    </row>
    <row r="59" spans="1:9" ht="21.95" customHeight="1" x14ac:dyDescent="0.25">
      <c r="A59" s="14">
        <f t="shared" si="1"/>
        <v>54</v>
      </c>
      <c r="B59" s="15" t="s">
        <v>194</v>
      </c>
      <c r="C59" s="16" t="s">
        <v>107</v>
      </c>
      <c r="D59" s="17" t="s">
        <v>195</v>
      </c>
      <c r="E59" s="18" t="s">
        <v>196</v>
      </c>
      <c r="F59" s="19" t="s">
        <v>110</v>
      </c>
      <c r="G59" s="20"/>
      <c r="H59" s="21"/>
      <c r="I59" s="22" t="s">
        <v>13</v>
      </c>
    </row>
    <row r="60" spans="1:9" ht="21.95" customHeight="1" x14ac:dyDescent="0.25">
      <c r="A60" s="5">
        <f t="shared" si="1"/>
        <v>55</v>
      </c>
      <c r="B60" s="6" t="s">
        <v>197</v>
      </c>
      <c r="C60" s="7" t="s">
        <v>124</v>
      </c>
      <c r="D60" s="8" t="s">
        <v>198</v>
      </c>
      <c r="E60" s="9" t="s">
        <v>196</v>
      </c>
      <c r="F60" s="10" t="s">
        <v>110</v>
      </c>
      <c r="G60" s="11"/>
      <c r="H60" s="12"/>
      <c r="I60" s="13" t="s">
        <v>13</v>
      </c>
    </row>
    <row r="61" spans="1:9" ht="21.95" customHeight="1" x14ac:dyDescent="0.25">
      <c r="A61" s="14">
        <f t="shared" si="1"/>
        <v>56</v>
      </c>
      <c r="B61" s="15" t="s">
        <v>199</v>
      </c>
      <c r="C61" s="16" t="s">
        <v>200</v>
      </c>
      <c r="D61" s="17" t="s">
        <v>201</v>
      </c>
      <c r="E61" s="18" t="s">
        <v>202</v>
      </c>
      <c r="F61" s="19" t="s">
        <v>110</v>
      </c>
      <c r="G61" s="20"/>
      <c r="H61" s="21"/>
      <c r="I61" s="22" t="s">
        <v>13</v>
      </c>
    </row>
    <row r="62" spans="1:9" ht="21.95" customHeight="1" x14ac:dyDescent="0.25">
      <c r="A62" s="5">
        <f t="shared" si="1"/>
        <v>57</v>
      </c>
      <c r="B62" s="6" t="s">
        <v>203</v>
      </c>
      <c r="C62" s="7" t="s">
        <v>76</v>
      </c>
      <c r="D62" s="8" t="s">
        <v>204</v>
      </c>
      <c r="E62" s="9" t="s">
        <v>205</v>
      </c>
      <c r="F62" s="10" t="s">
        <v>110</v>
      </c>
      <c r="G62" s="11"/>
      <c r="H62" s="12"/>
      <c r="I62" s="13" t="s">
        <v>13</v>
      </c>
    </row>
    <row r="63" spans="1:9" ht="21.95" customHeight="1" x14ac:dyDescent="0.25">
      <c r="A63" s="14">
        <f t="shared" si="1"/>
        <v>58</v>
      </c>
      <c r="B63" s="15" t="s">
        <v>206</v>
      </c>
      <c r="C63" s="16" t="s">
        <v>207</v>
      </c>
      <c r="D63" s="17" t="s">
        <v>208</v>
      </c>
      <c r="E63" s="18" t="s">
        <v>209</v>
      </c>
      <c r="F63" s="19" t="s">
        <v>110</v>
      </c>
      <c r="G63" s="20"/>
      <c r="H63" s="21"/>
      <c r="I63" s="22" t="s">
        <v>13</v>
      </c>
    </row>
    <row r="64" spans="1:9" ht="21.95" customHeight="1" x14ac:dyDescent="0.25">
      <c r="A64" s="5">
        <f t="shared" si="1"/>
        <v>59</v>
      </c>
      <c r="B64" s="6" t="s">
        <v>210</v>
      </c>
      <c r="C64" s="7" t="s">
        <v>211</v>
      </c>
      <c r="D64" s="8" t="s">
        <v>212</v>
      </c>
      <c r="E64" s="9" t="s">
        <v>213</v>
      </c>
      <c r="F64" s="10" t="s">
        <v>110</v>
      </c>
      <c r="G64" s="11"/>
      <c r="H64" s="12"/>
      <c r="I64" s="13" t="s">
        <v>13</v>
      </c>
    </row>
    <row r="65" spans="1:9" ht="21.95" customHeight="1" x14ac:dyDescent="0.25">
      <c r="A65" s="14">
        <f t="shared" si="1"/>
        <v>60</v>
      </c>
      <c r="B65" s="15" t="s">
        <v>214</v>
      </c>
      <c r="C65" s="16" t="s">
        <v>112</v>
      </c>
      <c r="D65" s="17" t="s">
        <v>215</v>
      </c>
      <c r="E65" s="18" t="s">
        <v>216</v>
      </c>
      <c r="F65" s="19" t="s">
        <v>110</v>
      </c>
      <c r="G65" s="20"/>
      <c r="H65" s="21"/>
      <c r="I65" s="22" t="s">
        <v>13</v>
      </c>
    </row>
    <row r="66" spans="1:9" ht="21.95" customHeight="1" x14ac:dyDescent="0.25">
      <c r="A66" s="5">
        <f t="shared" si="1"/>
        <v>61</v>
      </c>
      <c r="B66" s="6" t="s">
        <v>217</v>
      </c>
      <c r="C66" s="7" t="s">
        <v>124</v>
      </c>
      <c r="D66" s="8" t="s">
        <v>218</v>
      </c>
      <c r="E66" s="9" t="s">
        <v>219</v>
      </c>
      <c r="F66" s="10" t="s">
        <v>110</v>
      </c>
      <c r="G66" s="11"/>
      <c r="H66" s="12"/>
      <c r="I66" s="13" t="s">
        <v>13</v>
      </c>
    </row>
    <row r="67" spans="1:9" ht="21.95" customHeight="1" x14ac:dyDescent="0.25">
      <c r="A67" s="14">
        <f t="shared" si="1"/>
        <v>62</v>
      </c>
      <c r="B67" s="15" t="s">
        <v>220</v>
      </c>
      <c r="C67" s="16" t="s">
        <v>85</v>
      </c>
      <c r="D67" s="17" t="s">
        <v>221</v>
      </c>
      <c r="E67" s="18" t="s">
        <v>219</v>
      </c>
      <c r="F67" s="19" t="s">
        <v>110</v>
      </c>
      <c r="G67" s="20"/>
      <c r="H67" s="21"/>
      <c r="I67" s="22" t="s">
        <v>13</v>
      </c>
    </row>
    <row r="68" spans="1:9" ht="21.95" customHeight="1" x14ac:dyDescent="0.25">
      <c r="A68" s="5">
        <f t="shared" si="1"/>
        <v>63</v>
      </c>
      <c r="B68" s="6" t="s">
        <v>222</v>
      </c>
      <c r="C68" s="7" t="s">
        <v>124</v>
      </c>
      <c r="D68" s="8" t="s">
        <v>223</v>
      </c>
      <c r="E68" s="9" t="s">
        <v>224</v>
      </c>
      <c r="F68" s="10" t="s">
        <v>110</v>
      </c>
      <c r="G68" s="11"/>
      <c r="H68" s="12"/>
      <c r="I68" s="13" t="s">
        <v>13</v>
      </c>
    </row>
    <row r="69" spans="1:9" ht="21.95" customHeight="1" x14ac:dyDescent="0.25">
      <c r="A69" s="14">
        <f t="shared" si="1"/>
        <v>64</v>
      </c>
      <c r="B69" s="15" t="s">
        <v>225</v>
      </c>
      <c r="C69" s="16" t="s">
        <v>124</v>
      </c>
      <c r="D69" s="17" t="s">
        <v>226</v>
      </c>
      <c r="E69" s="18" t="s">
        <v>224</v>
      </c>
      <c r="F69" s="19" t="s">
        <v>110</v>
      </c>
      <c r="G69" s="20"/>
      <c r="H69" s="21"/>
      <c r="I69" s="22" t="s">
        <v>13</v>
      </c>
    </row>
    <row r="70" spans="1:9" ht="21.95" customHeight="1" x14ac:dyDescent="0.25">
      <c r="A70" s="5">
        <f t="shared" ref="A70:A77" si="2">ROW()-5</f>
        <v>65</v>
      </c>
      <c r="B70" s="6" t="s">
        <v>227</v>
      </c>
      <c r="C70" s="7" t="s">
        <v>228</v>
      </c>
      <c r="D70" s="8" t="s">
        <v>229</v>
      </c>
      <c r="E70" s="9" t="s">
        <v>224</v>
      </c>
      <c r="F70" s="10" t="s">
        <v>110</v>
      </c>
      <c r="G70" s="11"/>
      <c r="H70" s="12"/>
      <c r="I70" s="13" t="s">
        <v>13</v>
      </c>
    </row>
    <row r="71" spans="1:9" ht="21.95" customHeight="1" x14ac:dyDescent="0.25">
      <c r="A71" s="14">
        <f t="shared" si="2"/>
        <v>66</v>
      </c>
      <c r="B71" s="15" t="s">
        <v>230</v>
      </c>
      <c r="C71" s="16" t="s">
        <v>76</v>
      </c>
      <c r="D71" s="17" t="s">
        <v>231</v>
      </c>
      <c r="E71" s="18" t="s">
        <v>232</v>
      </c>
      <c r="F71" s="19" t="s">
        <v>110</v>
      </c>
      <c r="G71" s="20"/>
      <c r="H71" s="21"/>
      <c r="I71" s="22" t="s">
        <v>13</v>
      </c>
    </row>
    <row r="72" spans="1:9" ht="21.95" customHeight="1" x14ac:dyDescent="0.25">
      <c r="A72" s="5">
        <f t="shared" si="2"/>
        <v>67</v>
      </c>
      <c r="B72" s="6" t="s">
        <v>233</v>
      </c>
      <c r="C72" s="7" t="s">
        <v>124</v>
      </c>
      <c r="D72" s="8" t="s">
        <v>234</v>
      </c>
      <c r="E72" s="9" t="s">
        <v>232</v>
      </c>
      <c r="F72" s="10" t="s">
        <v>110</v>
      </c>
      <c r="G72" s="11"/>
      <c r="H72" s="12"/>
      <c r="I72" s="13" t="s">
        <v>13</v>
      </c>
    </row>
    <row r="73" spans="1:9" ht="21.95" customHeight="1" x14ac:dyDescent="0.25">
      <c r="A73" s="14">
        <f t="shared" si="2"/>
        <v>68</v>
      </c>
      <c r="B73" s="15" t="s">
        <v>235</v>
      </c>
      <c r="C73" s="16" t="s">
        <v>236</v>
      </c>
      <c r="D73" s="17" t="s">
        <v>237</v>
      </c>
      <c r="E73" s="18" t="s">
        <v>232</v>
      </c>
      <c r="F73" s="19" t="s">
        <v>110</v>
      </c>
      <c r="G73" s="20"/>
      <c r="H73" s="21"/>
      <c r="I73" s="22" t="s">
        <v>13</v>
      </c>
    </row>
    <row r="74" spans="1:9" ht="21.95" customHeight="1" x14ac:dyDescent="0.25">
      <c r="A74" s="5">
        <f t="shared" si="2"/>
        <v>69</v>
      </c>
      <c r="B74" s="6" t="s">
        <v>238</v>
      </c>
      <c r="C74" s="7" t="s">
        <v>112</v>
      </c>
      <c r="D74" s="8" t="s">
        <v>239</v>
      </c>
      <c r="E74" s="9" t="s">
        <v>240</v>
      </c>
      <c r="F74" s="10" t="s">
        <v>110</v>
      </c>
      <c r="G74" s="11"/>
      <c r="H74" s="12"/>
      <c r="I74" s="13" t="s">
        <v>13</v>
      </c>
    </row>
    <row r="75" spans="1:9" ht="21.95" customHeight="1" x14ac:dyDescent="0.25">
      <c r="A75" s="14">
        <f t="shared" si="2"/>
        <v>70</v>
      </c>
      <c r="B75" s="15" t="s">
        <v>241</v>
      </c>
      <c r="C75" s="16" t="s">
        <v>242</v>
      </c>
      <c r="D75" s="17" t="s">
        <v>243</v>
      </c>
      <c r="E75" s="18" t="s">
        <v>240</v>
      </c>
      <c r="F75" s="19" t="s">
        <v>110</v>
      </c>
      <c r="G75" s="20"/>
      <c r="H75" s="21"/>
      <c r="I75" s="22" t="s">
        <v>13</v>
      </c>
    </row>
    <row r="76" spans="1:9" ht="21.95" customHeight="1" x14ac:dyDescent="0.25">
      <c r="A76" s="5">
        <f t="shared" si="2"/>
        <v>71</v>
      </c>
      <c r="B76" s="6" t="s">
        <v>244</v>
      </c>
      <c r="C76" s="7" t="s">
        <v>112</v>
      </c>
      <c r="D76" s="8" t="s">
        <v>245</v>
      </c>
      <c r="E76" s="9" t="s">
        <v>246</v>
      </c>
      <c r="F76" s="10" t="s">
        <v>110</v>
      </c>
      <c r="G76" s="11"/>
      <c r="H76" s="12"/>
      <c r="I76" s="13" t="s">
        <v>13</v>
      </c>
    </row>
    <row r="77" spans="1:9" x14ac:dyDescent="0.25">
      <c r="A77" s="14">
        <f t="shared" si="2"/>
        <v>72</v>
      </c>
      <c r="B77" s="15" t="s">
        <v>247</v>
      </c>
      <c r="C77" s="16" t="s">
        <v>76</v>
      </c>
      <c r="D77" s="17" t="s">
        <v>248</v>
      </c>
      <c r="E77" s="18" t="s">
        <v>249</v>
      </c>
      <c r="F77" s="19" t="s">
        <v>110</v>
      </c>
      <c r="G77" s="20"/>
      <c r="H77" s="21"/>
      <c r="I77" s="22" t="s">
        <v>13</v>
      </c>
    </row>
  </sheetData>
  <autoFilter ref="A4:I77" xr:uid="{00000000-0009-0000-0000-000001000000}"/>
  <mergeCells count="1">
    <mergeCell ref="A1:I1"/>
  </mergeCells>
  <conditionalFormatting sqref="A5:I1000">
    <cfRule type="expression" dxfId="13" priority="7">
      <formula>$F5="✅ Interesado"</formula>
    </cfRule>
    <cfRule type="expression" dxfId="12" priority="8">
      <formula>$F5="🤝 Cerrado"</formula>
    </cfRule>
  </conditionalFormatting>
  <conditionalFormatting sqref="F5:F1000">
    <cfRule type="containsText" dxfId="11" priority="1" operator="containsText" text="✅ Interesado">
      <formula>NOT(ISERROR(SEARCH("✅ Interesado",F5)))</formula>
    </cfRule>
    <cfRule type="containsText" dxfId="10" priority="2" operator="containsText" text="📞 Recontactar">
      <formula>NOT(ISERROR(SEARCH("📞 Recontactar",F5)))</formula>
    </cfRule>
    <cfRule type="containsText" dxfId="9" priority="3" operator="containsText" text="❌ No contesta">
      <formula>NOT(ISERROR(SEARCH("❌ No contesta",F5)))</formula>
    </cfRule>
    <cfRule type="containsText" dxfId="8" priority="4" operator="containsText" text="🚫 No interesado">
      <formula>NOT(ISERROR(SEARCH("🚫 No interesado",F5)))</formula>
    </cfRule>
    <cfRule type="containsText" dxfId="7" priority="5" operator="containsText" text="🤝 Cerrado">
      <formula>NOT(ISERROR(SEARCH("🤝 Cerrado",F5)))</formula>
    </cfRule>
    <cfRule type="containsText" dxfId="6" priority="6" operator="containsText" text="⏳ Sin contactar">
      <formula>NOT(ISERROR(SEARCH("⏳ Sin contactar",F5)))</formula>
    </cfRule>
  </conditionalFormatting>
  <conditionalFormatting sqref="F6:F1000">
    <cfRule type="containsText" dxfId="5" priority="9" operator="containsText" text="✅ Interesado">
      <formula>NOT(ISERROR(SEARCH("✅ Interesado",F6)))</formula>
    </cfRule>
    <cfRule type="containsText" dxfId="4" priority="10" operator="containsText" text="📞 Recontactar">
      <formula>NOT(ISERROR(SEARCH("📞 Recontactar",F6)))</formula>
    </cfRule>
    <cfRule type="containsText" dxfId="3" priority="11" operator="containsText" text="❌ No contesta">
      <formula>NOT(ISERROR(SEARCH("❌ No contesta",F6)))</formula>
    </cfRule>
    <cfRule type="containsText" dxfId="2" priority="12" operator="containsText" text="🚫 No interesado">
      <formula>NOT(ISERROR(SEARCH("🚫 No interesado",F6)))</formula>
    </cfRule>
    <cfRule type="containsText" dxfId="1" priority="13" operator="containsText" text="🤝 Cerrado">
      <formula>NOT(ISERROR(SEARCH("🤝 Cerrado",F6)))</formula>
    </cfRule>
    <cfRule type="containsText" dxfId="0" priority="14" operator="containsText" text="⏳ Sin contactar">
      <formula>NOT(ISERROR(SEARCH("⏳ Sin contactar",F6)))</formula>
    </cfRule>
  </conditionalFormatting>
  <dataValidations count="2">
    <dataValidation type="list" allowBlank="1" sqref="F5:F1000" xr:uid="{00000000-0002-0000-0100-000000000000}">
      <formula1>"✅ Interesado,📞 Recontactar,❌ No contesta,🚫 No interesado,🤝 Cerrado,⏳ Sin contactar"</formula1>
    </dataValidation>
    <dataValidation type="list" allowBlank="1" sqref="I5:I1000" xr:uid="{00000000-0002-0000-0100-000001000000}">
      <formula1>"🔴 Alta,🟡 Media,🟢 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baseColWidth="10" defaultColWidth="9.140625" defaultRowHeight="15" x14ac:dyDescent="0.25"/>
  <cols>
    <col min="1" max="1" width="25" customWidth="1"/>
    <col min="2" max="2" width="15" customWidth="1"/>
  </cols>
  <sheetData>
    <row r="1" spans="1:2" ht="35.1" customHeight="1" x14ac:dyDescent="0.25">
      <c r="A1" s="56" t="s">
        <v>250</v>
      </c>
      <c r="B1" s="46"/>
    </row>
    <row r="2" spans="1:2" ht="26.1" customHeight="1" x14ac:dyDescent="0.25">
      <c r="A2" s="23" t="s">
        <v>251</v>
      </c>
      <c r="B2" s="24">
        <f>COUNTA(Leads!B5:B1000)</f>
        <v>73</v>
      </c>
    </row>
    <row r="3" spans="1:2" ht="26.1" customHeight="1" x14ac:dyDescent="0.25">
      <c r="A3" s="25" t="s">
        <v>252</v>
      </c>
      <c r="B3" s="26">
        <f>COUNTIF(Leads!F5:F1000,"✅ Interesado")</f>
        <v>0</v>
      </c>
    </row>
    <row r="4" spans="1:2" ht="26.1" customHeight="1" x14ac:dyDescent="0.25">
      <c r="A4" s="27" t="s">
        <v>253</v>
      </c>
      <c r="B4" s="28">
        <f>COUNTIF(Leads!F5:F1000,"📞 Recontactar")</f>
        <v>0</v>
      </c>
    </row>
    <row r="5" spans="1:2" ht="26.1" customHeight="1" x14ac:dyDescent="0.25">
      <c r="A5" s="29" t="s">
        <v>254</v>
      </c>
      <c r="B5" s="30">
        <f>COUNTIF(Leads!F5:F1000,"❌ No contesta")</f>
        <v>0</v>
      </c>
    </row>
    <row r="6" spans="1:2" ht="26.1" customHeight="1" x14ac:dyDescent="0.25">
      <c r="A6" s="31" t="s">
        <v>255</v>
      </c>
      <c r="B6" s="32">
        <f>COUNTIF(Leads!F5:F1000,"🚫 No interesado")</f>
        <v>0</v>
      </c>
    </row>
    <row r="7" spans="1:2" ht="26.1" customHeight="1" x14ac:dyDescent="0.25">
      <c r="A7" s="33" t="s">
        <v>256</v>
      </c>
      <c r="B7" s="34">
        <f>COUNTIF(Leads!F5:F1000,"🤝 Cerrado")</f>
        <v>50</v>
      </c>
    </row>
    <row r="8" spans="1:2" ht="26.1" customHeight="1" x14ac:dyDescent="0.25">
      <c r="A8" s="35" t="s">
        <v>11</v>
      </c>
      <c r="B8" s="36">
        <f>COUNTIF(Leads!F5:F1000,"⏳ Sin contactar")</f>
        <v>22</v>
      </c>
    </row>
    <row r="9" spans="1:2" ht="26.1" customHeight="1" x14ac:dyDescent="0.25">
      <c r="A9" s="37" t="s">
        <v>257</v>
      </c>
      <c r="B9" s="38">
        <f>IFERROR((COUNTA(Leads!B5:B1000)-COUNTIF(Leads!F5:F1000,"⏳ Sin contactar"))/COUNTA(Leads!B5:B1000),"0%")</f>
        <v>0.69863013698630139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➕ Nuevo Lead</vt:lpstr>
      <vt:lpstr>Leads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Felipe Lentini</cp:lastModifiedBy>
  <dcterms:created xsi:type="dcterms:W3CDTF">2026-04-10T19:40:58Z</dcterms:created>
  <dcterms:modified xsi:type="dcterms:W3CDTF">2026-04-10T20:35:12Z</dcterms:modified>
</cp:coreProperties>
</file>